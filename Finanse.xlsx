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301-06\Desktop\"/>
    </mc:Choice>
  </mc:AlternateContent>
  <xr:revisionPtr revIDLastSave="0" documentId="13_ncr:1_{0FC25DDD-3041-47C3-A77C-2BB1C5507A72}" xr6:coauthVersionLast="47" xr6:coauthVersionMax="47" xr10:uidLastSave="{00000000-0000-0000-0000-000000000000}"/>
  <bookViews>
    <workbookView xWindow="-120" yWindow="-120" windowWidth="29040" windowHeight="15840" activeTab="2" xr2:uid="{19EE711A-3283-4873-9107-9C9869A047C7}"/>
  </bookViews>
  <sheets>
    <sheet name="operations" sheetId="2" r:id="rId1"/>
    <sheet name="dictionary" sheetId="3" r:id="rId2"/>
    <sheet name="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 a="1"/>
  <c r="C11" i="4" s="1"/>
  <c r="B11" i="4" a="1"/>
  <c r="B11" i="4" s="1"/>
  <c r="D2" i="4" s="1"/>
  <c r="K11" i="4"/>
  <c r="B17" i="4"/>
  <c r="H8" i="4"/>
  <c r="C9" i="4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2" i="2" a="1"/>
  <c r="E2" i="2" s="1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/>
  <c r="E13" i="2" a="1"/>
  <c r="E13" i="2" s="1"/>
  <c r="E14" i="2" a="1"/>
  <c r="E14" i="2" s="1"/>
  <c r="E15" i="2" a="1"/>
  <c r="E15" i="2"/>
  <c r="E16" i="2" a="1"/>
  <c r="E16" i="2" s="1"/>
  <c r="E17" i="2" a="1"/>
  <c r="E17" i="2"/>
  <c r="E18" i="2" a="1"/>
  <c r="E18" i="2" s="1"/>
  <c r="E19" i="2" a="1"/>
  <c r="E19" i="2" s="1"/>
  <c r="E20" i="2" a="1"/>
  <c r="E20" i="2"/>
  <c r="E21" i="2" a="1"/>
  <c r="E21" i="2" s="1"/>
  <c r="E22" i="2" a="1"/>
  <c r="E22" i="2" s="1"/>
  <c r="E23" i="2" a="1"/>
  <c r="E23" i="2" s="1"/>
  <c r="E24" i="2" a="1"/>
  <c r="E24" i="2"/>
  <c r="E25" i="2" a="1"/>
  <c r="E25" i="2" s="1"/>
  <c r="E26" i="2" a="1"/>
  <c r="E26" i="2"/>
  <c r="E27" i="2" a="1"/>
  <c r="E27" i="2"/>
  <c r="E28" i="2" a="1"/>
  <c r="E28" i="2" s="1"/>
  <c r="E29" i="2" a="1"/>
  <c r="E29" i="2"/>
  <c r="E30" i="2" a="1"/>
  <c r="E30" i="2" s="1"/>
  <c r="E31" i="2" a="1"/>
  <c r="E31" i="2" s="1"/>
  <c r="E32" i="2" a="1"/>
  <c r="E32" i="2" s="1"/>
  <c r="E33" i="2" a="1"/>
  <c r="E33" i="2"/>
  <c r="E34" i="2" a="1"/>
  <c r="E34" i="2"/>
  <c r="E35" i="2" a="1"/>
  <c r="E35" i="2" s="1"/>
  <c r="E36" i="2" a="1"/>
  <c r="E36" i="2" s="1"/>
  <c r="E37" i="2" a="1"/>
  <c r="E37" i="2" s="1"/>
  <c r="E38" i="2" a="1"/>
  <c r="E38" i="2" s="1"/>
  <c r="E39" i="2" a="1"/>
  <c r="E39" i="2"/>
  <c r="E40" i="2" a="1"/>
  <c r="E40" i="2" s="1"/>
  <c r="E41" i="2" a="1"/>
  <c r="E41" i="2"/>
  <c r="E42" i="2" a="1"/>
  <c r="E42" i="2"/>
  <c r="E43" i="2" a="1"/>
  <c r="E43" i="2" s="1"/>
  <c r="E44" i="2" a="1"/>
  <c r="E44" i="2" s="1"/>
  <c r="E45" i="2" a="1"/>
  <c r="E45" i="2" s="1"/>
  <c r="E46" i="2" a="1"/>
  <c r="E46" i="2" s="1"/>
  <c r="E47" i="2" a="1"/>
  <c r="E47" i="2" s="1"/>
  <c r="E48" i="2" a="1"/>
  <c r="E48" i="2"/>
  <c r="E49" i="2" a="1"/>
  <c r="E49" i="2" s="1"/>
  <c r="E50" i="2" a="1"/>
  <c r="E50" i="2" s="1"/>
  <c r="E51" i="2" a="1"/>
  <c r="E51" i="2"/>
  <c r="E52" i="2" a="1"/>
  <c r="E52" i="2" s="1"/>
  <c r="E53" i="2" a="1"/>
  <c r="E53" i="2"/>
  <c r="E54" i="2" a="1"/>
  <c r="E54" i="2" s="1"/>
  <c r="E55" i="2" a="1"/>
  <c r="E55" i="2"/>
  <c r="E56" i="2" a="1"/>
  <c r="E56" i="2" s="1"/>
  <c r="E57" i="2" a="1"/>
  <c r="E57" i="2" s="1"/>
  <c r="E58" i="2" a="1"/>
  <c r="E58" i="2" s="1"/>
  <c r="E59" i="2" a="1"/>
  <c r="E59" i="2"/>
  <c r="E60" i="2" a="1"/>
  <c r="E60" i="2"/>
  <c r="E61" i="2" a="1"/>
  <c r="E61" i="2"/>
  <c r="E62" i="2" a="1"/>
  <c r="E62" i="2" s="1"/>
  <c r="E63" i="2" a="1"/>
  <c r="E63" i="2"/>
  <c r="E64" i="2" a="1"/>
  <c r="E64" i="2" s="1"/>
  <c r="E65" i="2" a="1"/>
  <c r="E65" i="2" s="1"/>
  <c r="E66" i="2" a="1"/>
  <c r="E66" i="2"/>
  <c r="E67" i="2" a="1"/>
  <c r="E67" i="2" s="1"/>
  <c r="E68" i="2" a="1"/>
  <c r="E68" i="2" s="1"/>
  <c r="E69" i="2" a="1"/>
  <c r="E69" i="2" s="1"/>
  <c r="E70" i="2" a="1"/>
  <c r="E70" i="2" s="1"/>
  <c r="E71" i="2" a="1"/>
  <c r="E71" i="2" s="1"/>
  <c r="E72" i="2" a="1"/>
  <c r="E72" i="2"/>
  <c r="E73" i="2" a="1"/>
  <c r="E73" i="2"/>
  <c r="E74" i="2" a="1"/>
  <c r="E74" i="2" s="1"/>
  <c r="E75" i="2" a="1"/>
  <c r="E75" i="2" s="1"/>
  <c r="E76" i="2" a="1"/>
  <c r="E76" i="2"/>
  <c r="E77" i="2" a="1"/>
  <c r="E77" i="2"/>
  <c r="E78" i="2" a="1"/>
  <c r="E78" i="2" s="1"/>
  <c r="E79" i="2" a="1"/>
  <c r="E79" i="2"/>
  <c r="E80" i="2" a="1"/>
  <c r="E80" i="2" s="1"/>
  <c r="E81" i="2" a="1"/>
  <c r="E81" i="2"/>
  <c r="E82" i="2" a="1"/>
  <c r="E82" i="2" s="1"/>
  <c r="E83" i="2" a="1"/>
  <c r="E83" i="2" s="1"/>
  <c r="E84" i="2" a="1"/>
  <c r="E84" i="2"/>
  <c r="E85" i="2" a="1"/>
  <c r="E85" i="2"/>
  <c r="E86" i="2" a="1"/>
  <c r="E86" i="2" s="1"/>
  <c r="E87" i="2" a="1"/>
  <c r="E87" i="2" s="1"/>
  <c r="E88" i="2" a="1"/>
  <c r="E88" i="2"/>
  <c r="E89" i="2" a="1"/>
  <c r="E89" i="2" s="1"/>
  <c r="E90" i="2" a="1"/>
  <c r="E90" i="2"/>
  <c r="E91" i="2" a="1"/>
  <c r="E91" i="2" s="1"/>
  <c r="E92" i="2" a="1"/>
  <c r="E92" i="2" s="1"/>
  <c r="E93" i="2" a="1"/>
  <c r="E93" i="2"/>
  <c r="E94" i="2" a="1"/>
  <c r="E94" i="2" s="1"/>
  <c r="E95" i="2" a="1"/>
  <c r="E95" i="2" s="1"/>
  <c r="E96" i="2" a="1"/>
  <c r="E96" i="2" s="1"/>
  <c r="E97" i="2" a="1"/>
  <c r="E97" i="2" s="1"/>
  <c r="E98" i="2" a="1"/>
  <c r="E98" i="2" s="1"/>
  <c r="E99" i="2" a="1"/>
  <c r="E99" i="2" s="1"/>
  <c r="E100" i="2" a="1"/>
  <c r="E100" i="2" s="1"/>
  <c r="E101" i="2" a="1"/>
  <c r="E101" i="2"/>
  <c r="E102" i="2" a="1"/>
  <c r="E102" i="2" s="1"/>
  <c r="E103" i="2" a="1"/>
  <c r="E103" i="2"/>
  <c r="E104" i="2" a="1"/>
  <c r="E104" i="2" s="1"/>
  <c r="E105" i="2" a="1"/>
  <c r="E105" i="2" s="1"/>
  <c r="E106" i="2" a="1"/>
  <c r="E106" i="2" s="1"/>
  <c r="E107" i="2" a="1"/>
  <c r="E107" i="2"/>
  <c r="E108" i="2" a="1"/>
  <c r="E108" i="2" s="1"/>
  <c r="E109" i="2" a="1"/>
  <c r="E109" i="2" s="1"/>
  <c r="E110" i="2" a="1"/>
  <c r="E110" i="2" s="1"/>
  <c r="E111" i="2" a="1"/>
  <c r="E111" i="2"/>
  <c r="E112" i="2" a="1"/>
  <c r="E112" i="2" s="1"/>
  <c r="E113" i="2" a="1"/>
  <c r="E113" i="2" s="1"/>
  <c r="E114" i="2" a="1"/>
  <c r="E114" i="2" s="1"/>
  <c r="E115" i="2" a="1"/>
  <c r="E115" i="2"/>
  <c r="E116" i="2" a="1"/>
  <c r="E116" i="2" s="1"/>
  <c r="E117" i="2" a="1"/>
  <c r="E117" i="2" s="1"/>
  <c r="E118" i="2" a="1"/>
  <c r="E118" i="2"/>
  <c r="E119" i="2" a="1"/>
  <c r="E119" i="2" s="1"/>
  <c r="E120" i="2" a="1"/>
  <c r="E120" i="2"/>
  <c r="E121" i="2" a="1"/>
  <c r="E121" i="2" s="1"/>
  <c r="E122" i="2" a="1"/>
  <c r="E122" i="2" s="1"/>
  <c r="E123" i="2" a="1"/>
  <c r="E123" i="2"/>
  <c r="E124" i="2" a="1"/>
  <c r="E124" i="2" s="1"/>
  <c r="E125" i="2" a="1"/>
  <c r="E125" i="2"/>
  <c r="E126" i="2" a="1"/>
  <c r="E126" i="2" s="1"/>
  <c r="E127" i="2" a="1"/>
  <c r="E127" i="2"/>
  <c r="E128" i="2" a="1"/>
  <c r="E128" i="2" s="1"/>
  <c r="E129" i="2" a="1"/>
  <c r="E129" i="2" s="1"/>
  <c r="E130" i="2" a="1"/>
  <c r="E130" i="2" s="1"/>
  <c r="E131" i="2" a="1"/>
  <c r="E131" i="2" s="1"/>
  <c r="E132" i="2" a="1"/>
  <c r="E132" i="2"/>
  <c r="E133" i="2" a="1"/>
  <c r="E133" i="2" s="1"/>
  <c r="E134" i="2" a="1"/>
  <c r="E134" i="2" s="1"/>
  <c r="E135" i="2" a="1"/>
  <c r="E135" i="2" s="1"/>
  <c r="E136" i="2" a="1"/>
  <c r="E136" i="2"/>
  <c r="E137" i="2" a="1"/>
  <c r="E137" i="2"/>
  <c r="E138" i="2" a="1"/>
  <c r="E138" i="2" s="1"/>
  <c r="E139" i="2" a="1"/>
  <c r="E139" i="2" s="1"/>
  <c r="E140" i="2" a="1"/>
  <c r="E140" i="2" s="1"/>
  <c r="E141" i="2" a="1"/>
  <c r="E141" i="2" s="1"/>
  <c r="E142" i="2" a="1"/>
  <c r="E142" i="2" s="1"/>
  <c r="E143" i="2" a="1"/>
  <c r="E143" i="2" s="1"/>
  <c r="E144" i="2" a="1"/>
  <c r="E144" i="2"/>
  <c r="E145" i="2" a="1"/>
  <c r="E145" i="2"/>
  <c r="E146" i="2" a="1"/>
  <c r="E146" i="2" s="1"/>
  <c r="E147" i="2" a="1"/>
  <c r="E147" i="2" s="1"/>
  <c r="E148" i="2" a="1"/>
  <c r="E148" i="2" s="1"/>
  <c r="E149" i="2" a="1"/>
  <c r="E149" i="2" s="1"/>
  <c r="E150" i="2" a="1"/>
  <c r="E150" i="2" s="1"/>
  <c r="E151" i="2" a="1"/>
  <c r="E151" i="2"/>
  <c r="E152" i="2" a="1"/>
  <c r="E152" i="2" s="1"/>
  <c r="E153" i="2" a="1"/>
  <c r="E153" i="2" s="1"/>
  <c r="E154" i="2" a="1"/>
  <c r="E154" i="2" s="1"/>
  <c r="E155" i="2" a="1"/>
  <c r="E155" i="2" s="1"/>
  <c r="E156" i="2" a="1"/>
  <c r="E156" i="2" s="1"/>
  <c r="E157" i="2" a="1"/>
  <c r="E157" i="2" s="1"/>
  <c r="E158" i="2" a="1"/>
  <c r="E158" i="2" s="1"/>
  <c r="E159" i="2" a="1"/>
  <c r="E159" i="2" s="1"/>
  <c r="E160" i="2" a="1"/>
  <c r="E160" i="2"/>
  <c r="E161" i="2" a="1"/>
  <c r="E161" i="2"/>
  <c r="E162" i="2" a="1"/>
  <c r="E162" i="2"/>
  <c r="E163" i="2" a="1"/>
  <c r="E163" i="2" s="1"/>
  <c r="E164" i="2" a="1"/>
  <c r="E164" i="2" s="1"/>
  <c r="E165" i="2" a="1"/>
  <c r="E165" i="2"/>
  <c r="E166" i="2" a="1"/>
  <c r="E166" i="2" s="1"/>
  <c r="E167" i="2" a="1"/>
  <c r="E167" i="2" s="1"/>
  <c r="E168" i="2" a="1"/>
  <c r="E168" i="2" s="1"/>
  <c r="E169" i="2" a="1"/>
  <c r="E169" i="2" s="1"/>
  <c r="E170" i="2" a="1"/>
  <c r="E170" i="2" s="1"/>
  <c r="E171" i="2" a="1"/>
  <c r="E171" i="2" s="1"/>
  <c r="E172" i="2" a="1"/>
  <c r="E172" i="2"/>
  <c r="E173" i="2" a="1"/>
  <c r="E173" i="2" s="1"/>
  <c r="E174" i="2" a="1"/>
  <c r="E174" i="2"/>
  <c r="E175" i="2" a="1"/>
  <c r="E175" i="2" s="1"/>
  <c r="E176" i="2" a="1"/>
  <c r="E176" i="2" s="1"/>
  <c r="E177" i="2" a="1"/>
  <c r="E177" i="2"/>
  <c r="E178" i="2" a="1"/>
  <c r="E178" i="2" s="1"/>
  <c r="E179" i="2" a="1"/>
  <c r="E179" i="2"/>
  <c r="E180" i="2" a="1"/>
  <c r="E180" i="2" s="1"/>
  <c r="E181" i="2" a="1"/>
  <c r="E181" i="2" s="1"/>
  <c r="E182" i="2" a="1"/>
  <c r="E182" i="2" s="1"/>
  <c r="E183" i="2" a="1"/>
  <c r="E183" i="2" s="1"/>
  <c r="E184" i="2" a="1"/>
  <c r="E184" i="2" s="1"/>
  <c r="E185" i="2" a="1"/>
  <c r="E185" i="2"/>
  <c r="E186" i="2" a="1"/>
  <c r="E186" i="2" s="1"/>
  <c r="E187" i="2" a="1"/>
  <c r="E187" i="2"/>
  <c r="E188" i="2" a="1"/>
  <c r="E188" i="2" s="1"/>
  <c r="E189" i="2" a="1"/>
  <c r="E189" i="2"/>
  <c r="E190" i="2" a="1"/>
  <c r="E190" i="2"/>
  <c r="E191" i="2" a="1"/>
  <c r="E191" i="2" s="1"/>
  <c r="E192" i="2" a="1"/>
  <c r="E192" i="2" s="1"/>
  <c r="E193" i="2" a="1"/>
  <c r="E193" i="2" s="1"/>
  <c r="E194" i="2" a="1"/>
  <c r="E194" i="2" s="1"/>
  <c r="E195" i="2" a="1"/>
  <c r="E195" i="2"/>
  <c r="E196" i="2" a="1"/>
  <c r="E196" i="2"/>
  <c r="E197" i="2" a="1"/>
  <c r="E197" i="2" s="1"/>
  <c r="E198" i="2" a="1"/>
  <c r="E198" i="2" s="1"/>
  <c r="E199" i="2" a="1"/>
  <c r="E199" i="2" s="1"/>
  <c r="E200" i="2" a="1"/>
  <c r="E200" i="2" s="1"/>
  <c r="E201" i="2" a="1"/>
  <c r="E201" i="2" s="1"/>
  <c r="E202" i="2" a="1"/>
  <c r="E202" i="2"/>
  <c r="E203" i="2" a="1"/>
  <c r="E203" i="2" s="1"/>
  <c r="E204" i="2" a="1"/>
  <c r="E204" i="2"/>
  <c r="E205" i="2" a="1"/>
  <c r="E205" i="2"/>
  <c r="E206" i="2" a="1"/>
  <c r="E206" i="2" s="1"/>
  <c r="E207" i="2" a="1"/>
  <c r="E207" i="2" s="1"/>
  <c r="D7" i="4" l="1"/>
  <c r="E7" i="4" s="1"/>
  <c r="D5" i="4"/>
  <c r="E5" i="4" s="1"/>
  <c r="D4" i="4"/>
  <c r="E4" i="4" s="1"/>
  <c r="D3" i="4"/>
  <c r="E3" i="4" s="1"/>
  <c r="D8" i="4"/>
  <c r="E8" i="4" s="1"/>
  <c r="D6" i="4"/>
  <c r="E6" i="4" s="1"/>
  <c r="E2" i="4"/>
  <c r="D9" i="4" l="1"/>
  <c r="E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<sst xmlns="http://schemas.openxmlformats.org/spreadsheetml/2006/main" count="733" uniqueCount="38">
  <si>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</si>
  <si>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</si>
  <si>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</si>
  <si>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</si>
  <si>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</si>
  <si>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</si>
  <si>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</si>
  <si>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</si>
  <si>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</si>
  <si>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</si>
  <si>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</si>
  <si>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</si>
  <si>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</si>
  <si>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</si>
  <si>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</si>
  <si>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</si>
  <si>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</si>
  <si>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</si>
  <si>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</si>
  <si>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</si>
  <si>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</si>
  <si>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</si>
  <si>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</si>
  <si>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</si>
  <si>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</si>
  <si>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</si>
  <si>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</si>
  <si>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</si>
  <si>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</si>
  <si>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</si>
  <si>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</si>
  <si>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</si>
  <si>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</si>
  <si>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</si>
  <si>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Opening balance</t>
  </si>
  <si>
    <t>Operations</t>
  </si>
  <si>
    <t>Closing 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</si>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</sst>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zł&quot;;[Red]\-#,##0.00\ &quot;zł&quot;"/>
    <numFmt numFmtId="165" formatCode="_-* #,##0.00\ &quot;zł&quot;_-;\-* #,##0.00\ &quot;zł&quot;_-;_-* &quot;-&quot;??\ &quot;zł&quot;_-;_-@_-"/>
    <numFmt numFmtId="166" formatCode="_-* #,##0.00\ [$zł-415]_-;\-* #,##0.00\ [$zł-415]_-;_-* &quot;-&quot;??\ [$zł-415]_-;_-@_-"/>
  </numFmts>
  <fonts count="7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b/>
      <sz val="11"/>
      <color rgb="FF3F3F3F"/>
      <name val="Calibri"/>
      <family val="2"/>
      <charset val="238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  <charset val="238"/>
      <scheme val="minor"/>
    </font>
    <font>
      <sz val="11"/>
      <color theme="1"/>
      <name val="Roboto Slab Medium"/>
      <charset val="238"/>
    </font>
    <font>
      <b/>
      <sz val="11"/>
      <color theme="0"/>
      <name val="Roboto Slab Medium"/>
      <charset val="238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165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3" fillId="3" borderId="2" xfId="0" applyFont="1" applyFill="1" applyBorder="1"/>
    <xf numFmtId="0" fontId="1" fillId="4" borderId="4" xfId="0" applyFont="1" applyFill="1" applyBorder="1"/>
    <xf numFmtId="0" fontId="1" fillId="5" borderId="4" xfId="0" applyFont="1" applyFill="1" applyBorder="1"/>
    <xf numFmtId="0" fontId="3" fillId="3" borderId="3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2" fillId="2" borderId="1" xfId="1"/>
    <xf numFmtId="0" fontId="5" fillId="0" borderId="0" xfId="0" applyFont="1"/>
    <xf numFmtId="166" fontId="5" fillId="0" borderId="0" xfId="0" applyNumberFormat="1" applyFont="1"/>
    <xf numFmtId="165" fontId="5" fillId="0" borderId="0" xfId="2" applyFont="1"/>
    <xf numFmtId="166" fontId="6" fillId="3" borderId="9" xfId="0" applyNumberFormat="1" applyFont="1" applyFill="1" applyBorder="1"/>
    <xf numFmtId="0" fontId="5" fillId="4" borderId="8" xfId="0" applyFont="1" applyFill="1" applyBorder="1"/>
  </cellXfs>
  <cellStyles count="3">
    <cellStyle name="Currency" xfId="2" builtinId="4"/>
    <cellStyle name="Normal" xfId="0" builtinId="0"/>
    <cellStyle name="Output" xfId="1" builtinId="21"/>
  </cellStyles>
  <dxfs count="50"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  <numFmt numFmtId="166" formatCode="_-* #,##0.00\ [$zł-415]_-;\-* #,##0.00\ [$zł-415]_-;_-* &quot;-&quot;??\ [$zł-415]_-;_-@_-"/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  <numFmt numFmtId="166" formatCode="_-* #,##0.00\ [$zł-415]_-;\-* #,##0.00\ [$zł-415]_-;_-* &quot;-&quot;??\ [$zł-415]_-;_-@_-"/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  <numFmt numFmtId="165" formatCode="_-* #,##0.00\ &quot;zł&quot;_-;\-* #,##0.00\ &quot;zł&quot;_-;_-* &quot;-&quot;??\ &quot;zł&quot;_-;_-@_-"/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  <numFmt numFmtId="166" formatCode="_-* #,##0.00\ [$zł-415]_-;\-* #,##0.00\ [$zł-415]_-;_-* &quot;-&quot;??\ [$zł-415]_-;_-@_-"/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strike val="0"/>
        <outline val="0"/>
        <shadow val="0"/>
        <u val="none"/>
        <vertAlign val="baseline"/>
        <sz val="11"/>
        <name val="Roboto Slab Medium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7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795AC1-1917-4645-9646-6132EB2CE894}" name="Operations" displayName="Operations" ref="A1:G207" totalsRowShown="0" headerRowDxfId="49" dataDxfId="48">
  <autoFilter ref="A1:G207" xr:uid="{9F795AC1-1917-4645-9646-6132EB2CE894}"/>
  <tableColumns count="7">
    <tableColumn id="1" xr3:uid="{801D9653-20A6-4B30-8B14-FD3A4F3D7B5E}" name="Amount" dataDxfId="47"/>
    <tableColumn id="2" xr3:uid="{A4F603F5-8D0B-4C28-8823-A048F4FA36A7}" name="Bank" dataDxfId="46"/>
    <tableColumn id="3" xr3:uid="{71CD9C7E-C89E-4735-9C48-FB6373D14F50}" name="Product" dataDxfId="45"/>
    <tableColumn id="4" xr3:uid="{E64342EF-A9CC-47B5-AC82-911853248386}" name="Category" dataDxfId="44"/>
    <tableColumn id="5" xr3:uid="{DBEEB7B4-B3A8-432C-B873-5DA4E4C27F9A}" name="Type" dataDxfId="43">
      <calculatedColumnFormula array="1">_xlfn.XLOOKUP(Operations[[#This Row],[Category]],Category[[#All],[Category]],Category[[#All],[Type]],"",0)</calculatedColumnFormula>
    </tableColumn>
    <tableColumn id="6" xr3:uid="{4861A292-CA46-41C4-A83D-7F63AC3DBB42}" name="Date" dataDxfId="42"/>
    <tableColumn id="7" xr3:uid="{F9D7B0EC-34D8-4F4C-91F9-640B72D60D79}" name="Month" dataDxfId="41">
      <calculatedColumnFormula>MONTH(Operations[[#This Row],[Date]])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21333-58EF-4E59-AD1D-D5FDE06E7AB5}" name="Category" displayName="Category" ref="A1:B17" totalsRowShown="0">
  <autoFilter ref="A1:B17" xr:uid="{BDF21333-58EF-4E59-AD1D-D5FDE06E7AB5}"/>
  <sortState xmlns:xlrd2="http://schemas.microsoft.com/office/spreadsheetml/2017/richdata2" ref="A2:B17">
    <sortCondition ref="B2:B17"/>
    <sortCondition ref="A2:A17"/>
  </sortState>
  <tableColumns count="2">
    <tableColumn id="1" xr3:uid="{328E09D3-9FB4-4442-8A8A-09B71E065E74}" name="Category" dataDxfId="40"/>
    <tableColumn id="2" xr3:uid="{B23B74F5-F89B-4EBC-8D7D-5DF0B3120ACD}" name="Typ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DF01F7-B415-464F-9402-81E9813BD6A9}" name="Products" displayName="Products" ref="D1:E8" totalsRowShown="0" headerRowDxfId="39" headerRowBorderDxfId="38" tableBorderDxfId="37" totalsRowBorderDxfId="36">
  <autoFilter ref="D1:E8" xr:uid="{81DF01F7-B415-464F-9402-81E9813BD6A9}"/>
  <sortState xmlns:xlrd2="http://schemas.microsoft.com/office/spreadsheetml/2017/richdata2" ref="D2:E8">
    <sortCondition ref="D2:D8"/>
    <sortCondition ref="E2:E8"/>
  </sortState>
  <tableColumns count="2">
    <tableColumn id="1" xr3:uid="{ADBB1D96-9F68-4AC9-AABC-0D8BF0D31967}" name="Bank" dataDxfId="35"/>
    <tableColumn id="2" xr3:uid="{EF226174-94CB-4359-86BA-027D0D565615}" name="Product" dataDxfId="3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62EADE-147E-4FBA-B7B6-58FF9D2B6515}" name="Table6" displayName="Table6" ref="A1:E9" totalsRowCount="1" headerRowDxfId="23" dataDxfId="21" totalsRowDxfId="22" headerRowCellStyle="Title" dataCellStyle="Title" totalsRowCellStyle="Title">
  <autoFilter ref="A1:E8" xr:uid="{B062EADE-147E-4FBA-B7B6-58FF9D2B6515}"/>
  <tableColumns count="5">
    <tableColumn id="1" xr3:uid="{9C2F3667-08EA-4A83-8DDE-C2DCDE0EB171}" name="Bank" totalsRowLabel="Total" dataDxfId="33" totalsRowDxfId="32"/>
    <tableColumn id="2" xr3:uid="{7CF377C9-67D1-439F-B9AC-093CA7773CC0}" name="Product" dataDxfId="31" totalsRowDxfId="30"/>
    <tableColumn id="3" xr3:uid="{DE8B4E42-2766-47E9-BCD7-506F148ACDF3}" name="Opening balance" totalsRowFunction="sum" dataDxfId="29" totalsRowDxfId="28" dataCellStyle="Currency"/>
    <tableColumn id="4" xr3:uid="{6F1B2918-B20C-40DF-B8C8-0E2D7AC2C258}" name="Operations" totalsRowFunction="sum" dataDxfId="27" totalsRowDxfId="26" dataCellStyle="Currency">
      <calculatedColumnFormula>SUMIFS(Operations[Amount],Operations[Bank],Table6[[#This Row],[Bank]],Operations[Product],Table6[[#This Row],[Product]],Operations[Month],$B$11)</calculatedColumnFormula>
    </tableColumn>
    <tableColumn id="5" xr3:uid="{F1243B24-B66B-4CC5-8494-FAA1A215D32F}" name="Closing balance" totalsRowFunction="sum" dataDxfId="25" totalsRowDxfId="24" dataCellStyle="Currency">
      <calculatedColumnFormula>C2+D2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88923A-5CBA-4DEC-B64E-1846818404E9}" name="Table7" displayName="Table7" ref="G1:H8" totalsRowCount="1" headerRowDxfId="16" dataDxfId="14" totalsRowDxfId="15" headerRowCellStyle="Currency" dataCellStyle="Currency" totalsRowCellStyle="Currency">
  <autoFilter ref="G1:H7" xr:uid="{AD88923A-5CBA-4DEC-B64E-1846818404E9}"/>
  <tableColumns count="2">
    <tableColumn id="1" xr3:uid="{EA7CDA44-FA12-485A-B342-F35AF8127180}" name="Category" totalsRowLabel="Total" dataDxfId="20" totalsRowDxfId="19" dataCellStyle="Currency" totalsRowCellStyle="Currency"/>
    <tableColumn id="2" xr3:uid="{B37B2F7F-1D28-4C28-B05C-DC793BAC72DE}" name="Total" totalsRowFunction="count" dataDxfId="18" totalsRowDxfId="17" dataCellStyle="Currency" totalsRowCellStyle="Currency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D85A360-2B66-4570-9148-4EFA6FEACA28}" name="Table8" displayName="Table8" ref="J1:K11" totalsRowCount="1" headerRowDxfId="9" dataDxfId="7" totalsRowDxfId="8" headerRowCellStyle="Currency" dataCellStyle="Currency" totalsRowCellStyle="Currency">
  <autoFilter ref="J1:K10" xr:uid="{6D85A360-2B66-4570-9148-4EFA6FEACA28}"/>
  <tableColumns count="2">
    <tableColumn id="1" xr3:uid="{872B46F3-5CEC-401B-96EA-80E4E28140AB}" name="Category" totalsRowLabel="Total" dataDxfId="13" totalsRowDxfId="12" dataCellStyle="Currency" totalsRowCellStyle="Currency"/>
    <tableColumn id="2" xr3:uid="{057A0C63-0A44-4D31-AB0D-99DDB19CD4A0}" name="Total" totalsRowFunction="count" dataDxfId="11" totalsRowDxfId="10" dataCellStyle="Currency" totalsRowCellStyle="Currency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B114F4-6103-476A-99C0-E8526252110E}" name="Table9" displayName="Table9" ref="A13:B17" totalsRowCount="1" headerRowDxfId="2" dataDxfId="0" totalsRowDxfId="1" headerRowCellStyle="Currency" dataCellStyle="Currency" totalsRowCellStyle="Currency">
  <autoFilter ref="A13:B16" xr:uid="{12B114F4-6103-476A-99C0-E8526252110E}"/>
  <tableColumns count="2">
    <tableColumn id="1" xr3:uid="{0F8979CD-44AB-4635-9867-098314EE28F0}" name="Type" totalsRowLabel="Total" dataDxfId="6" totalsRowDxfId="5" dataCellStyle="Currency" totalsRowCellStyle="Currency"/>
    <tableColumn id="2" xr3:uid="{DCFB12EC-682C-4370-905B-89BFF63357ED}" name="Total" totalsRowFunction="count" dataDxfId="4" totalsRowDxfId="3" dataCellStyle="Currency" totalsRow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workbookViewId="0">
      <selection activeCell="G2" sqref="G2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18.5703125" bestFit="1" customWidth="1"/>
    <col min="4" max="4" width="16" bestFit="1" customWidth="1"/>
    <col min="5" max="5" width="7.5703125" bestFit="1" customWidth="1"/>
    <col min="6" max="6" width="11.28515625" bestFit="1" customWidth="1"/>
    <col min="7" max="7" width="7.85546875" customWidth="1"/>
    <col min="10" max="10" width="16.5703125" bestFit="1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17</v>
      </c>
      <c r="E2" s="1" t="str" cm="1">
        <f t="array" ref="E2">_xlfn.XLOOKUP(Operations[[#This Row],[Category]],Category[[#All],[Category]],Category[[#All],[Type]],"",0)</f>
        <v>Expense</v>
      </c>
      <c r="F2" s="3">
        <v>45296</v>
      </c>
      <c r="G2" s="1">
        <f>MONTH(Operations[[#This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26</v>
      </c>
      <c r="E3" s="1" t="str" cm="1">
        <f t="array" ref="E3">_xlfn.XLOOKUP(Operations[[#This Row],[Category]],Category[[#All],[Category]],Category[[#All],[Type]],"",0)</f>
        <v>Income</v>
      </c>
      <c r="F3" s="3">
        <v>45301</v>
      </c>
      <c r="G3" s="1">
        <f>MONTH(Operations[[#This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18</v>
      </c>
      <c r="E4" s="1" t="str" cm="1">
        <f t="array" ref="E4">_xlfn.XLOOKUP(Operations[[#This Row],[Category]],Category[[#All],[Category]],Category[[#All],[Type]],"",0)</f>
        <v>Expense</v>
      </c>
      <c r="F4" s="3">
        <v>45302</v>
      </c>
      <c r="G4" s="1">
        <f>MONTH(Operations[[#This Row],[Date]])</f>
        <v>1</v>
      </c>
    </row>
    <row r="5" spans="1:7" x14ac:dyDescent="0.25">
      <c r="A5" s="2">
        <v>-45</v>
      </c>
      <c r="B5" s="1" t="s">
        <v>11</v>
      </c>
      <c r="C5" s="1" t="s">
        <v>8</v>
      </c>
      <c r="D5" s="1" t="s">
        <v>17</v>
      </c>
      <c r="E5" s="1" t="str" cm="1">
        <f t="array" ref="E5">_xlfn.XLOOKUP(Operations[[#This Row],[Category]],Category[[#All],[Category]],Category[[#All],[Type]],"",0)</f>
        <v>Expense</v>
      </c>
      <c r="F5" s="3">
        <v>45305</v>
      </c>
      <c r="G5" s="1">
        <f>MONTH(Operations[[#This Row],[Date]])</f>
        <v>1</v>
      </c>
    </row>
    <row r="6" spans="1:7" x14ac:dyDescent="0.25">
      <c r="A6" s="2">
        <v>-150</v>
      </c>
      <c r="B6" s="1" t="s">
        <v>7</v>
      </c>
      <c r="C6" s="1" t="s">
        <v>9</v>
      </c>
      <c r="D6" s="1" t="s">
        <v>19</v>
      </c>
      <c r="E6" s="1" t="str" cm="1">
        <f t="array" ref="E6">_xlfn.XLOOKUP(Operations[[#This Row],[Category]],Category[[#All],[Category]],Category[[#All],[Type]],"",0)</f>
        <v>Expense</v>
      </c>
      <c r="F6" s="3">
        <v>45306</v>
      </c>
      <c r="G6" s="1">
        <f>MONTH(Operations[[#This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17</v>
      </c>
      <c r="E7" s="1" t="str" cm="1">
        <f t="array" ref="E7">_xlfn.XLOOKUP(Operations[[#This Row],[Category]],Category[[#All],[Category]],Category[[#All],[Type]],"",0)</f>
        <v>Expense</v>
      </c>
      <c r="F7" s="3">
        <v>45307</v>
      </c>
      <c r="G7" s="1">
        <f>MONTH(Operations[[#This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30</v>
      </c>
      <c r="E8" s="1" t="str" cm="1">
        <f t="array" ref="E8">_xlfn.XLOOKUP(Operations[[#This Row],[Category]],Category[[#All],[Category]],Category[[#All],[Type]],"",0)</f>
        <v>Income</v>
      </c>
      <c r="F8" s="3">
        <v>45308</v>
      </c>
      <c r="G8" s="1">
        <f>MONTH(Operations[[#This Row],[Date]])</f>
        <v>1</v>
      </c>
    </row>
    <row r="9" spans="1:7" x14ac:dyDescent="0.25">
      <c r="A9" s="2">
        <v>-500</v>
      </c>
      <c r="B9" s="1" t="s">
        <v>7</v>
      </c>
      <c r="C9" s="1" t="s">
        <v>10</v>
      </c>
      <c r="D9" s="1" t="s">
        <v>24</v>
      </c>
      <c r="E9" s="1" t="str" cm="1">
        <f t="array" ref="E9">_xlfn.XLOOKUP(Operations[[#This Row],[Category]],Category[[#All],[Category]],Category[[#All],[Type]],"",0)</f>
        <v>Expense</v>
      </c>
      <c r="F9" s="3">
        <v>45308</v>
      </c>
      <c r="G9" s="1">
        <f>MONTH(Operations[[#This Row],[Date]])</f>
        <v>1</v>
      </c>
    </row>
    <row r="10" spans="1:7" x14ac:dyDescent="0.25">
      <c r="A10" s="2">
        <v>250</v>
      </c>
      <c r="B10" s="1" t="s">
        <v>11</v>
      </c>
      <c r="C10" s="1" t="s">
        <v>12</v>
      </c>
      <c r="D10" s="1" t="s">
        <v>25</v>
      </c>
      <c r="E10" s="1" t="str" cm="1">
        <f t="array" ref="E10">_xlfn.XLOOKUP(Operations[[#This Row],[Category]],Category[[#All],[Category]],Category[[#All],[Type]],"",0)</f>
        <v>Income</v>
      </c>
      <c r="F10" s="3">
        <v>45308</v>
      </c>
      <c r="G10" s="1">
        <f>MONTH(Operations[[#This Row],[Date]])</f>
        <v>1</v>
      </c>
    </row>
    <row r="11" spans="1:7" x14ac:dyDescent="0.25">
      <c r="A11" s="2">
        <v>-25</v>
      </c>
      <c r="B11" s="1" t="s">
        <v>7</v>
      </c>
      <c r="C11" s="1" t="s">
        <v>9</v>
      </c>
      <c r="D11" s="1" t="s">
        <v>20</v>
      </c>
      <c r="E11" s="1" t="str" cm="1">
        <f t="array" ref="E11">_xlfn.XLOOKUP(Operations[[#This Row],[Category]],Category[[#All],[Category]],Category[[#All],[Type]],"",0)</f>
        <v>Expense</v>
      </c>
      <c r="F11" s="3">
        <v>45310</v>
      </c>
      <c r="G11" s="1">
        <f>MONTH(Operations[[#This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16</v>
      </c>
      <c r="E12" s="1" t="str" cm="1">
        <f t="array" ref="E12">_xlfn.XLOOKUP(Operations[[#This Row],[Category]],Category[[#All],[Category]],Category[[#All],[Type]],"",0)</f>
        <v>Expense</v>
      </c>
      <c r="F12" s="3">
        <v>45311</v>
      </c>
      <c r="G12" s="1">
        <f>MONTH(Operations[[#This Row],[Date]])</f>
        <v>1</v>
      </c>
    </row>
    <row r="13" spans="1:7" x14ac:dyDescent="0.25">
      <c r="A13" s="2">
        <v>150</v>
      </c>
      <c r="B13" s="1" t="s">
        <v>11</v>
      </c>
      <c r="C13" s="1" t="s">
        <v>8</v>
      </c>
      <c r="D13" s="1" t="s">
        <v>30</v>
      </c>
      <c r="E13" s="1" t="str" cm="1">
        <f t="array" ref="E13">_xlfn.XLOOKUP(Operations[[#This Row],[Category]],Category[[#All],[Category]],Category[[#All],[Type]],"",0)</f>
        <v>Income</v>
      </c>
      <c r="F13" s="3">
        <v>45312</v>
      </c>
      <c r="G13" s="1">
        <f>MONTH(Operations[[#This Row],[Date]])</f>
        <v>1</v>
      </c>
    </row>
    <row r="14" spans="1:7" x14ac:dyDescent="0.25">
      <c r="A14" s="2">
        <v>-80</v>
      </c>
      <c r="B14" s="1" t="s">
        <v>11</v>
      </c>
      <c r="C14" s="1" t="s">
        <v>8</v>
      </c>
      <c r="D14" s="1" t="s">
        <v>22</v>
      </c>
      <c r="E14" s="1" t="str" cm="1">
        <f t="array" ref="E14">_xlfn.XLOOKUP(Operations[[#This Row],[Category]],Category[[#All],[Category]],Category[[#All],[Type]],"",0)</f>
        <v>Expense</v>
      </c>
      <c r="F14" s="3">
        <v>45313</v>
      </c>
      <c r="G14" s="1">
        <f>MONTH(Operations[[#This Row],[Date]])</f>
        <v>1</v>
      </c>
    </row>
    <row r="15" spans="1:7" x14ac:dyDescent="0.25">
      <c r="A15" s="2">
        <v>-60</v>
      </c>
      <c r="B15" s="1" t="s">
        <v>11</v>
      </c>
      <c r="C15" s="1" t="s">
        <v>8</v>
      </c>
      <c r="D15" s="1" t="s">
        <v>20</v>
      </c>
      <c r="E15" s="1" t="str" cm="1">
        <f t="array" ref="E15">_xlfn.XLOOKUP(Operations[[#This Row],[Category]],Category[[#All],[Category]],Category[[#All],[Type]],"",0)</f>
        <v>Expense</v>
      </c>
      <c r="F15" s="3">
        <v>45314</v>
      </c>
      <c r="G15" s="1">
        <f>MONTH(Operations[[#This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 cm="1">
        <f t="array" ref="E16">_xlfn.XLOOKUP(Operations[[#This Row],[Category]],Category[[#All],[Category]],Category[[#All],[Type]],"",0)</f>
        <v>Expense</v>
      </c>
      <c r="F16" s="3">
        <v>45315</v>
      </c>
      <c r="G16" s="1">
        <f>MONTH(Operations[[#This Row],[Date]])</f>
        <v>1</v>
      </c>
    </row>
    <row r="17" spans="1:7" x14ac:dyDescent="0.25">
      <c r="A17" s="2">
        <v>-50</v>
      </c>
      <c r="B17" s="1" t="s">
        <v>13</v>
      </c>
      <c r="C17" s="1" t="s">
        <v>15</v>
      </c>
      <c r="D17" s="1" t="s">
        <v>17</v>
      </c>
      <c r="E17" s="1" t="str" cm="1">
        <f t="array" ref="E17">_xlfn.XLOOKUP(Operations[[#This Row],[Category]],Category[[#All],[Category]],Category[[#All],[Type]],"",0)</f>
        <v>Expense</v>
      </c>
      <c r="F17" s="3">
        <v>45316</v>
      </c>
      <c r="G17" s="1">
        <f>MONTH(Operations[[#This Row],[Date]])</f>
        <v>1</v>
      </c>
    </row>
    <row r="18" spans="1:7" x14ac:dyDescent="0.25">
      <c r="A18" s="2">
        <v>150</v>
      </c>
      <c r="B18" s="1" t="s">
        <v>13</v>
      </c>
      <c r="C18" s="1" t="s">
        <v>14</v>
      </c>
      <c r="D18" s="1" t="s">
        <v>30</v>
      </c>
      <c r="E18" s="1" t="str" cm="1">
        <f t="array" ref="E18">_xlfn.XLOOKUP(Operations[[#This Row],[Category]],Category[[#All],[Category]],Category[[#All],[Type]],"",0)</f>
        <v>Income</v>
      </c>
      <c r="F18" s="3">
        <v>45316</v>
      </c>
      <c r="G18" s="1">
        <f>MONTH(Operations[[#This Row],[Date]])</f>
        <v>1</v>
      </c>
    </row>
    <row r="19" spans="1:7" x14ac:dyDescent="0.25">
      <c r="A19" s="2">
        <v>5.5</v>
      </c>
      <c r="B19" s="1" t="s">
        <v>11</v>
      </c>
      <c r="C19" s="1" t="s">
        <v>12</v>
      </c>
      <c r="D19" s="1" t="s">
        <v>28</v>
      </c>
      <c r="E19" s="1" t="str" cm="1">
        <f t="array" ref="E19">_xlfn.XLOOKUP(Operations[[#This Row],[Category]],Category[[#All],[Category]],Category[[#All],[Type]],"",0)</f>
        <v>Income</v>
      </c>
      <c r="F19" s="3">
        <v>45317</v>
      </c>
      <c r="G19" s="1">
        <f>MONTH(Operations[[#This Row],[Date]])</f>
        <v>1</v>
      </c>
    </row>
    <row r="20" spans="1:7" x14ac:dyDescent="0.25">
      <c r="A20" s="2">
        <v>100</v>
      </c>
      <c r="B20" s="1" t="s">
        <v>7</v>
      </c>
      <c r="C20" s="1" t="s">
        <v>10</v>
      </c>
      <c r="D20" s="1" t="s">
        <v>28</v>
      </c>
      <c r="E20" s="1" t="str" cm="1">
        <f t="array" ref="E20">_xlfn.XLOOKUP(Operations[[#This Row],[Category]],Category[[#All],[Category]],Category[[#All],[Type]],"",0)</f>
        <v>Income</v>
      </c>
      <c r="F20" s="3">
        <v>45318</v>
      </c>
      <c r="G20" s="1">
        <f>MONTH(Operations[[#This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21</v>
      </c>
      <c r="E21" s="1" t="str" cm="1">
        <f t="array" ref="E21">_xlfn.XLOOKUP(Operations[[#This Row],[Category]],Category[[#All],[Category]],Category[[#All],[Type]],"",0)</f>
        <v>Expense</v>
      </c>
      <c r="F21" s="3">
        <v>45319</v>
      </c>
      <c r="G21" s="1">
        <f>MONTH(Operations[[#This Row],[Date]])</f>
        <v>1</v>
      </c>
    </row>
    <row r="22" spans="1:7" x14ac:dyDescent="0.25">
      <c r="A22" s="2">
        <v>200</v>
      </c>
      <c r="B22" s="1" t="s">
        <v>11</v>
      </c>
      <c r="C22" s="1" t="s">
        <v>8</v>
      </c>
      <c r="D22" s="1" t="s">
        <v>30</v>
      </c>
      <c r="E22" s="1" t="str" cm="1">
        <f t="array" ref="E22">_xlfn.XLOOKUP(Operations[[#This Row],[Category]],Category[[#All],[Category]],Category[[#All],[Type]],"",0)</f>
        <v>Income</v>
      </c>
      <c r="F22" s="3">
        <v>45324</v>
      </c>
      <c r="G22" s="1">
        <f>MONTH(Operations[[#This Row],[Date]])</f>
        <v>2</v>
      </c>
    </row>
    <row r="23" spans="1:7" x14ac:dyDescent="0.25">
      <c r="A23" s="2">
        <v>-15</v>
      </c>
      <c r="B23" s="1" t="s">
        <v>11</v>
      </c>
      <c r="C23" s="1" t="s">
        <v>8</v>
      </c>
      <c r="D23" s="1" t="s">
        <v>24</v>
      </c>
      <c r="E23" s="1" t="str" cm="1">
        <f t="array" ref="E23">_xlfn.XLOOKUP(Operations[[#This Row],[Category]],Category[[#All],[Category]],Category[[#All],[Type]],"",0)</f>
        <v>Expense</v>
      </c>
      <c r="F23" s="3">
        <v>45326</v>
      </c>
      <c r="G23" s="1">
        <f>MONTH(Operations[[#This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17</v>
      </c>
      <c r="E24" s="1" t="str" cm="1">
        <f t="array" ref="E24">_xlfn.XLOOKUP(Operations[[#This Row],[Category]],Category[[#All],[Category]],Category[[#All],[Type]],"",0)</f>
        <v>Expense</v>
      </c>
      <c r="F24" s="3">
        <v>45328</v>
      </c>
      <c r="G24" s="1">
        <f>MONTH(Operations[[#This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26</v>
      </c>
      <c r="E25" s="1" t="str" cm="1">
        <f t="array" ref="E25">_xlfn.XLOOKUP(Operations[[#This Row],[Category]],Category[[#All],[Category]],Category[[#All],[Type]],"",0)</f>
        <v>Income</v>
      </c>
      <c r="F25" s="3">
        <v>45332</v>
      </c>
      <c r="G25" s="1">
        <f>MONTH(Operations[[#This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18</v>
      </c>
      <c r="E26" s="1" t="str" cm="1">
        <f t="array" ref="E26">_xlfn.XLOOKUP(Operations[[#This Row],[Category]],Category[[#All],[Category]],Category[[#All],[Type]],"",0)</f>
        <v>Expense</v>
      </c>
      <c r="F26" s="3">
        <v>45333</v>
      </c>
      <c r="G26" s="1">
        <f>MONTH(Operations[[#This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 cm="1">
        <f t="array" ref="E27">_xlfn.XLOOKUP(Operations[[#This Row],[Category]],Category[[#All],[Category]],Category[[#All],[Type]],"",0)</f>
        <v>Expense</v>
      </c>
      <c r="F27" s="3">
        <v>45335</v>
      </c>
      <c r="G27" s="1">
        <f>MONTH(Operations[[#This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30</v>
      </c>
      <c r="E28" s="1" t="str" cm="1">
        <f t="array" ref="E28">_xlfn.XLOOKUP(Operations[[#This Row],[Category]],Category[[#All],[Category]],Category[[#All],[Type]],"",0)</f>
        <v>Income</v>
      </c>
      <c r="F28" s="3">
        <v>45336</v>
      </c>
      <c r="G28" s="1">
        <f>MONTH(Operations[[#This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17</v>
      </c>
      <c r="E29" s="1" t="str" cm="1">
        <f t="array" ref="E29">_xlfn.XLOOKUP(Operations[[#This Row],[Category]],Category[[#All],[Category]],Category[[#All],[Type]],"",0)</f>
        <v>Expense</v>
      </c>
      <c r="F29" s="3">
        <v>45336</v>
      </c>
      <c r="G29" s="1">
        <f>MONTH(Operations[[#This Row],[Date]])</f>
        <v>2</v>
      </c>
    </row>
    <row r="30" spans="1:7" x14ac:dyDescent="0.25">
      <c r="A30" s="2">
        <v>-500</v>
      </c>
      <c r="B30" s="1" t="s">
        <v>7</v>
      </c>
      <c r="C30" s="1" t="s">
        <v>10</v>
      </c>
      <c r="D30" s="1" t="s">
        <v>24</v>
      </c>
      <c r="E30" s="1" t="str" cm="1">
        <f t="array" ref="E30">_xlfn.XLOOKUP(Operations[[#This Row],[Category]],Category[[#All],[Category]],Category[[#All],[Type]],"",0)</f>
        <v>Expense</v>
      </c>
      <c r="F30" s="3">
        <v>45336</v>
      </c>
      <c r="G30" s="1">
        <f>MONTH(Operations[[#This Row],[Date]])</f>
        <v>2</v>
      </c>
    </row>
    <row r="31" spans="1:7" x14ac:dyDescent="0.25">
      <c r="A31" s="2">
        <v>-200</v>
      </c>
      <c r="B31" s="1" t="s">
        <v>13</v>
      </c>
      <c r="C31" s="1" t="s">
        <v>14</v>
      </c>
      <c r="D31" s="1" t="s">
        <v>24</v>
      </c>
      <c r="E31" s="1" t="str" cm="1">
        <f t="array" ref="E31">_xlfn.XLOOKUP(Operations[[#This Row],[Category]],Category[[#All],[Category]],Category[[#All],[Type]],"",0)</f>
        <v>Expense</v>
      </c>
      <c r="F31" s="3">
        <v>45336</v>
      </c>
      <c r="G31" s="1">
        <f>MONTH(Operations[[#This Row],[Date]])</f>
        <v>2</v>
      </c>
    </row>
    <row r="32" spans="1:7" x14ac:dyDescent="0.25">
      <c r="A32" s="2">
        <v>175</v>
      </c>
      <c r="B32" s="1" t="s">
        <v>7</v>
      </c>
      <c r="C32" s="1" t="s">
        <v>9</v>
      </c>
      <c r="D32" s="1" t="s">
        <v>31</v>
      </c>
      <c r="E32" s="1" t="str" cm="1">
        <f t="array" ref="E32">_xlfn.XLOOKUP(Operations[[#This Row],[Category]],Category[[#All],[Category]],Category[[#All],[Type]],"",0)</f>
        <v>Transfer</v>
      </c>
      <c r="F32" s="3">
        <v>45337</v>
      </c>
      <c r="G32" s="1">
        <f>MONTH(Operations[[#This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tr" cm="1">
        <f t="array" ref="E33">_xlfn.XLOOKUP(Operations[[#This Row],[Category]],Category[[#All],[Category]],Category[[#All],[Type]],"",0)</f>
        <v>Transfer</v>
      </c>
      <c r="F33" s="3">
        <v>45337</v>
      </c>
      <c r="G33" s="1">
        <f>MONTH(Operations[[#This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 cm="1">
        <f t="array" ref="E34">_xlfn.XLOOKUP(Operations[[#This Row],[Category]],Category[[#All],[Category]],Category[[#All],[Type]],"",0)</f>
        <v>Expense</v>
      </c>
      <c r="F34" s="3">
        <v>45339</v>
      </c>
      <c r="G34" s="1">
        <f>MONTH(Operations[[#This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16</v>
      </c>
      <c r="E35" s="1" t="str" cm="1">
        <f t="array" ref="E35">_xlfn.XLOOKUP(Operations[[#This Row],[Category]],Category[[#All],[Category]],Category[[#All],[Type]],"",0)</f>
        <v>Expense</v>
      </c>
      <c r="F35" s="3">
        <v>45342</v>
      </c>
      <c r="G35" s="1">
        <f>MONTH(Operations[[#This Row],[Date]])</f>
        <v>2</v>
      </c>
    </row>
    <row r="36" spans="1:7" x14ac:dyDescent="0.25">
      <c r="A36" s="2">
        <v>150</v>
      </c>
      <c r="B36" s="1" t="s">
        <v>13</v>
      </c>
      <c r="C36" s="1" t="s">
        <v>14</v>
      </c>
      <c r="D36" s="1" t="s">
        <v>30</v>
      </c>
      <c r="E36" s="1" t="str" cm="1">
        <f t="array" ref="E36">_xlfn.XLOOKUP(Operations[[#This Row],[Category]],Category[[#All],[Category]],Category[[#All],[Type]],"",0)</f>
        <v>Income</v>
      </c>
      <c r="F36" s="3">
        <v>45344</v>
      </c>
      <c r="G36" s="1">
        <f>MONTH(Operations[[#This Row],[Date]])</f>
        <v>2</v>
      </c>
    </row>
    <row r="37" spans="1:7" x14ac:dyDescent="0.25">
      <c r="A37" s="2">
        <v>100</v>
      </c>
      <c r="B37" s="1" t="s">
        <v>13</v>
      </c>
      <c r="C37" s="1" t="s">
        <v>15</v>
      </c>
      <c r="D37" s="1" t="s">
        <v>30</v>
      </c>
      <c r="E37" s="1" t="str" cm="1">
        <f t="array" ref="E37">_xlfn.XLOOKUP(Operations[[#This Row],[Category]],Category[[#All],[Category]],Category[[#All],[Type]],"",0)</f>
        <v>Income</v>
      </c>
      <c r="F37" s="3">
        <v>45345</v>
      </c>
      <c r="G37" s="1">
        <f>MONTH(Operations[[#This Row],[Date]])</f>
        <v>2</v>
      </c>
    </row>
    <row r="38" spans="1:7" x14ac:dyDescent="0.25">
      <c r="A38" s="2">
        <v>-200</v>
      </c>
      <c r="B38" s="1" t="s">
        <v>13</v>
      </c>
      <c r="C38" s="1" t="s">
        <v>14</v>
      </c>
      <c r="D38" s="1" t="s">
        <v>20</v>
      </c>
      <c r="E38" s="1" t="str" cm="1">
        <f t="array" ref="E38">_xlfn.XLOOKUP(Operations[[#This Row],[Category]],Category[[#All],[Category]],Category[[#All],[Type]],"",0)</f>
        <v>Expense</v>
      </c>
      <c r="F38" s="3">
        <v>45346</v>
      </c>
      <c r="G38" s="1">
        <f>MONTH(Operations[[#This Row],[Date]])</f>
        <v>2</v>
      </c>
    </row>
    <row r="39" spans="1:7" x14ac:dyDescent="0.25">
      <c r="A39" s="2">
        <v>1000</v>
      </c>
      <c r="B39" s="1" t="s">
        <v>13</v>
      </c>
      <c r="C39" s="1" t="s">
        <v>14</v>
      </c>
      <c r="D39" s="1" t="s">
        <v>30</v>
      </c>
      <c r="E39" s="1" t="str" cm="1">
        <f t="array" ref="E39">_xlfn.XLOOKUP(Operations[[#This Row],[Category]],Category[[#All],[Category]],Category[[#All],[Type]],"",0)</f>
        <v>Income</v>
      </c>
      <c r="F39" s="3">
        <v>45347</v>
      </c>
      <c r="G39" s="1">
        <f>MONTH(Operations[[#This Row],[Date]])</f>
        <v>2</v>
      </c>
    </row>
    <row r="40" spans="1:7" x14ac:dyDescent="0.25">
      <c r="A40" s="2">
        <v>-250</v>
      </c>
      <c r="B40" s="1" t="s">
        <v>13</v>
      </c>
      <c r="C40" s="1" t="s">
        <v>14</v>
      </c>
      <c r="D40" s="1" t="s">
        <v>21</v>
      </c>
      <c r="E40" s="1" t="str" cm="1">
        <f t="array" ref="E40">_xlfn.XLOOKUP(Operations[[#This Row],[Category]],Category[[#All],[Category]],Category[[#All],[Type]],"",0)</f>
        <v>Expense</v>
      </c>
      <c r="F40" s="3">
        <v>45347</v>
      </c>
      <c r="G40" s="1">
        <f>MONTH(Operations[[#This Row],[Date]])</f>
        <v>2</v>
      </c>
    </row>
    <row r="41" spans="1:7" x14ac:dyDescent="0.25">
      <c r="A41" s="2">
        <v>-100</v>
      </c>
      <c r="B41" s="1" t="s">
        <v>11</v>
      </c>
      <c r="C41" s="1" t="s">
        <v>8</v>
      </c>
      <c r="D41" s="1" t="s">
        <v>17</v>
      </c>
      <c r="E41" s="1" t="str" cm="1">
        <f t="array" ref="E41">_xlfn.XLOOKUP(Operations[[#This Row],[Category]],Category[[#All],[Category]],Category[[#All],[Type]],"",0)</f>
        <v>Expense</v>
      </c>
      <c r="F41" s="3">
        <v>45348</v>
      </c>
      <c r="G41" s="1">
        <f>MONTH(Operations[[#This Row],[Date]])</f>
        <v>2</v>
      </c>
    </row>
    <row r="42" spans="1:7" x14ac:dyDescent="0.25">
      <c r="A42" s="2">
        <v>-50</v>
      </c>
      <c r="B42" s="1" t="s">
        <v>11</v>
      </c>
      <c r="C42" s="1" t="s">
        <v>8</v>
      </c>
      <c r="D42" s="1" t="s">
        <v>24</v>
      </c>
      <c r="E42" s="1" t="str" cm="1">
        <f t="array" ref="E42">_xlfn.XLOOKUP(Operations[[#This Row],[Category]],Category[[#All],[Category]],Category[[#All],[Type]],"",0)</f>
        <v>Expense</v>
      </c>
      <c r="F42" s="3">
        <v>45348</v>
      </c>
      <c r="G42" s="1">
        <f>MONTH(Operations[[#This Row],[Date]])</f>
        <v>2</v>
      </c>
    </row>
    <row r="43" spans="1:7" x14ac:dyDescent="0.25">
      <c r="A43" s="2">
        <v>15</v>
      </c>
      <c r="B43" s="1" t="s">
        <v>11</v>
      </c>
      <c r="C43" s="1" t="s">
        <v>12</v>
      </c>
      <c r="D43" s="1" t="s">
        <v>28</v>
      </c>
      <c r="E43" s="1" t="str" cm="1">
        <f t="array" ref="E43">_xlfn.XLOOKUP(Operations[[#This Row],[Category]],Category[[#All],[Category]],Category[[#All],[Type]],"",0)</f>
        <v>Income</v>
      </c>
      <c r="F43" s="3">
        <v>45349</v>
      </c>
      <c r="G43" s="1">
        <f>MONTH(Operations[[#This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19</v>
      </c>
      <c r="E44" s="1" t="str" cm="1">
        <f t="array" ref="E44">_xlfn.XLOOKUP(Operations[[#This Row],[Category]],Category[[#All],[Category]],Category[[#All],[Type]],"",0)</f>
        <v>Expense</v>
      </c>
      <c r="F44" s="3">
        <v>45350</v>
      </c>
      <c r="G44" s="1">
        <f>MONTH(Operations[[#This Row],[Date]])</f>
        <v>2</v>
      </c>
    </row>
    <row r="45" spans="1:7" x14ac:dyDescent="0.25">
      <c r="A45" s="2">
        <v>100</v>
      </c>
      <c r="B45" s="1" t="s">
        <v>7</v>
      </c>
      <c r="C45" s="1" t="s">
        <v>10</v>
      </c>
      <c r="D45" s="1" t="s">
        <v>28</v>
      </c>
      <c r="E45" s="1" t="str" cm="1">
        <f t="array" ref="E45">_xlfn.XLOOKUP(Operations[[#This Row],[Category]],Category[[#All],[Category]],Category[[#All],[Type]],"",0)</f>
        <v>Income</v>
      </c>
      <c r="F45" s="3">
        <v>45350</v>
      </c>
      <c r="G45" s="1">
        <f>MONTH(Operations[[#This Row],[Date]])</f>
        <v>2</v>
      </c>
    </row>
    <row r="46" spans="1:7" x14ac:dyDescent="0.25">
      <c r="A46" s="2">
        <v>-25</v>
      </c>
      <c r="B46" s="1" t="s">
        <v>7</v>
      </c>
      <c r="C46" s="1" t="s">
        <v>9</v>
      </c>
      <c r="D46" s="1" t="s">
        <v>17</v>
      </c>
      <c r="E46" s="1" t="str" cm="1">
        <f t="array" ref="E46">_xlfn.XLOOKUP(Operations[[#This Row],[Category]],Category[[#All],[Category]],Category[[#All],[Type]],"",0)</f>
        <v>Expense</v>
      </c>
      <c r="F46" s="3">
        <v>45352</v>
      </c>
      <c r="G46" s="1">
        <f>MONTH(Operations[[#This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17</v>
      </c>
      <c r="E47" s="1" t="str" cm="1">
        <f t="array" ref="E47">_xlfn.XLOOKUP(Operations[[#This Row],[Category]],Category[[#All],[Category]],Category[[#All],[Type]],"",0)</f>
        <v>Expense</v>
      </c>
      <c r="F47" s="3">
        <v>45353</v>
      </c>
      <c r="G47" s="1">
        <f>MONTH(Operations[[#This Row],[Date]])</f>
        <v>3</v>
      </c>
    </row>
    <row r="48" spans="1:7" x14ac:dyDescent="0.25">
      <c r="A48" s="2">
        <v>-82.5</v>
      </c>
      <c r="B48" s="1" t="s">
        <v>11</v>
      </c>
      <c r="C48" s="1" t="s">
        <v>8</v>
      </c>
      <c r="D48" s="1" t="s">
        <v>16</v>
      </c>
      <c r="E48" s="1" t="str" cm="1">
        <f t="array" ref="E48">_xlfn.XLOOKUP(Operations[[#This Row],[Category]],Category[[#All],[Category]],Category[[#All],[Type]],"",0)</f>
        <v>Expense</v>
      </c>
      <c r="F48" s="3">
        <v>45353</v>
      </c>
      <c r="G48" s="1">
        <f>MONTH(Operations[[#This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 cm="1">
        <f t="array" ref="E49">_xlfn.XLOOKUP(Operations[[#This Row],[Category]],Category[[#All],[Category]],Category[[#All],[Type]],"",0)</f>
        <v>Expense</v>
      </c>
      <c r="F49" s="3">
        <v>45355</v>
      </c>
      <c r="G49" s="1">
        <f>MONTH(Operations[[#This Row],[Date]])</f>
        <v>3</v>
      </c>
    </row>
    <row r="50" spans="1:7" x14ac:dyDescent="0.25">
      <c r="A50" s="2">
        <v>150</v>
      </c>
      <c r="B50" s="1" t="s">
        <v>11</v>
      </c>
      <c r="C50" s="1" t="s">
        <v>8</v>
      </c>
      <c r="D50" s="1" t="s">
        <v>28</v>
      </c>
      <c r="E50" s="1" t="str" cm="1">
        <f t="array" ref="E50">_xlfn.XLOOKUP(Operations[[#This Row],[Category]],Category[[#All],[Category]],Category[[#All],[Type]],"",0)</f>
        <v>Income</v>
      </c>
      <c r="F50" s="3">
        <v>45357</v>
      </c>
      <c r="G50" s="1">
        <f>MONTH(Operations[[#This Row],[Date]])</f>
        <v>3</v>
      </c>
    </row>
    <row r="51" spans="1:7" x14ac:dyDescent="0.25">
      <c r="A51" s="2">
        <v>-24.49</v>
      </c>
      <c r="B51" s="1" t="s">
        <v>13</v>
      </c>
      <c r="C51" s="1" t="s">
        <v>15</v>
      </c>
      <c r="D51" s="1" t="s">
        <v>17</v>
      </c>
      <c r="E51" s="1" t="str" cm="1">
        <f t="array" ref="E51">_xlfn.XLOOKUP(Operations[[#This Row],[Category]],Category[[#All],[Category]],Category[[#All],[Type]],"",0)</f>
        <v>Expense</v>
      </c>
      <c r="F51" s="3">
        <v>45359</v>
      </c>
      <c r="G51" s="1">
        <f>MONTH(Operations[[#This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26</v>
      </c>
      <c r="E52" s="1" t="str" cm="1">
        <f t="array" ref="E52">_xlfn.XLOOKUP(Operations[[#This Row],[Category]],Category[[#All],[Category]],Category[[#All],[Type]],"",0)</f>
        <v>Income</v>
      </c>
      <c r="F52" s="3">
        <v>45361</v>
      </c>
      <c r="G52" s="1">
        <f>MONTH(Operations[[#This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18</v>
      </c>
      <c r="E53" s="1" t="str" cm="1">
        <f t="array" ref="E53">_xlfn.XLOOKUP(Operations[[#This Row],[Category]],Category[[#All],[Category]],Category[[#All],[Type]],"",0)</f>
        <v>Expense</v>
      </c>
      <c r="F53" s="3">
        <v>45362</v>
      </c>
      <c r="G53" s="1">
        <f>MONTH(Operations[[#This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17</v>
      </c>
      <c r="E54" s="1" t="str" cm="1">
        <f t="array" ref="E54">_xlfn.XLOOKUP(Operations[[#This Row],[Category]],Category[[#All],[Category]],Category[[#All],[Type]],"",0)</f>
        <v>Expense</v>
      </c>
      <c r="F54" s="3">
        <v>45363</v>
      </c>
      <c r="G54" s="1">
        <f>MONTH(Operations[[#This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 cm="1">
        <f t="array" ref="E55">_xlfn.XLOOKUP(Operations[[#This Row],[Category]],Category[[#All],[Category]],Category[[#All],[Type]],"",0)</f>
        <v>Expense</v>
      </c>
      <c r="F55" s="3">
        <v>45364</v>
      </c>
      <c r="G55" s="1">
        <f>MONTH(Operations[[#This Row],[Date]])</f>
        <v>3</v>
      </c>
    </row>
    <row r="56" spans="1:7" x14ac:dyDescent="0.25">
      <c r="A56" s="2">
        <v>-9.5</v>
      </c>
      <c r="B56" s="1" t="s">
        <v>13</v>
      </c>
      <c r="C56" s="1" t="s">
        <v>14</v>
      </c>
      <c r="D56" s="1" t="s">
        <v>21</v>
      </c>
      <c r="E56" s="1" t="str" cm="1">
        <f t="array" ref="E56">_xlfn.XLOOKUP(Operations[[#This Row],[Category]],Category[[#All],[Category]],Category[[#All],[Type]],"",0)</f>
        <v>Expense</v>
      </c>
      <c r="F56" s="3">
        <v>45368</v>
      </c>
      <c r="G56" s="1">
        <f>MONTH(Operations[[#This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19</v>
      </c>
      <c r="E57" s="1" t="str" cm="1">
        <f t="array" ref="E57">_xlfn.XLOOKUP(Operations[[#This Row],[Category]],Category[[#All],[Category]],Category[[#All],[Type]],"",0)</f>
        <v>Expense</v>
      </c>
      <c r="F57" s="3">
        <v>45371</v>
      </c>
      <c r="G57" s="1">
        <f>MONTH(Operations[[#This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17</v>
      </c>
      <c r="E58" s="1" t="str" cm="1">
        <f t="array" ref="E58">_xlfn.XLOOKUP(Operations[[#This Row],[Category]],Category[[#All],[Category]],Category[[#All],[Type]],"",0)</f>
        <v>Expense</v>
      </c>
      <c r="F58" s="3">
        <v>45373</v>
      </c>
      <c r="G58" s="1">
        <f>MONTH(Operations[[#This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24</v>
      </c>
      <c r="E59" s="1" t="str" cm="1">
        <f t="array" ref="E59">_xlfn.XLOOKUP(Operations[[#This Row],[Category]],Category[[#All],[Category]],Category[[#All],[Type]],"",0)</f>
        <v>Expense</v>
      </c>
      <c r="F59" s="3">
        <v>45375</v>
      </c>
      <c r="G59" s="1">
        <f>MONTH(Operations[[#This Row],[Date]])</f>
        <v>3</v>
      </c>
    </row>
    <row r="60" spans="1:7" x14ac:dyDescent="0.25">
      <c r="A60" s="2">
        <v>5</v>
      </c>
      <c r="B60" s="1" t="s">
        <v>11</v>
      </c>
      <c r="C60" s="1" t="s">
        <v>12</v>
      </c>
      <c r="D60" s="1" t="s">
        <v>29</v>
      </c>
      <c r="E60" s="1" t="str" cm="1">
        <f t="array" ref="E60">_xlfn.XLOOKUP(Operations[[#This Row],[Category]],Category[[#All],[Category]],Category[[#All],[Type]],"",0)</f>
        <v>Income</v>
      </c>
      <c r="F60" s="3">
        <v>45377</v>
      </c>
      <c r="G60" s="1">
        <f>MONTH(Operations[[#This Row],[Date]])</f>
        <v>3</v>
      </c>
    </row>
    <row r="61" spans="1:7" x14ac:dyDescent="0.25">
      <c r="A61" s="2">
        <v>-79.5</v>
      </c>
      <c r="B61" s="1" t="s">
        <v>7</v>
      </c>
      <c r="C61" s="1" t="s">
        <v>9</v>
      </c>
      <c r="D61" s="1" t="s">
        <v>23</v>
      </c>
      <c r="E61" s="1" t="str" cm="1">
        <f t="array" ref="E61">_xlfn.XLOOKUP(Operations[[#This Row],[Category]],Category[[#All],[Category]],Category[[#All],[Type]],"",0)</f>
        <v>Expense</v>
      </c>
      <c r="F61" s="3">
        <v>45379</v>
      </c>
      <c r="G61" s="1">
        <f>MONTH(Operations[[#This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17</v>
      </c>
      <c r="E62" s="1" t="str" cm="1">
        <f t="array" ref="E62">_xlfn.XLOOKUP(Operations[[#This Row],[Category]],Category[[#All],[Category]],Category[[#All],[Type]],"",0)</f>
        <v>Expense</v>
      </c>
      <c r="F62" s="3">
        <v>45381</v>
      </c>
      <c r="G62" s="1">
        <f>MONTH(Operations[[#This Row],[Date]])</f>
        <v>3</v>
      </c>
    </row>
    <row r="63" spans="1:7" x14ac:dyDescent="0.25">
      <c r="A63" s="2">
        <v>-23.5</v>
      </c>
      <c r="B63" s="1" t="s">
        <v>7</v>
      </c>
      <c r="C63" s="1" t="s">
        <v>9</v>
      </c>
      <c r="D63" s="1" t="s">
        <v>21</v>
      </c>
      <c r="E63" s="1" t="str" cm="1">
        <f t="array" ref="E63">_xlfn.XLOOKUP(Operations[[#This Row],[Category]],Category[[#All],[Category]],Category[[#All],[Type]],"",0)</f>
        <v>Expense</v>
      </c>
      <c r="F63" s="3">
        <v>45383</v>
      </c>
      <c r="G63" s="1">
        <f>MONTH(Operations[[#This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16</v>
      </c>
      <c r="E64" s="1" t="str" cm="1">
        <f t="array" ref="E64">_xlfn.XLOOKUP(Operations[[#This Row],[Category]],Category[[#All],[Category]],Category[[#All],[Type]],"",0)</f>
        <v>Expense</v>
      </c>
      <c r="F64" s="3">
        <v>45384</v>
      </c>
      <c r="G64" s="1">
        <f>MONTH(Operations[[#This Row],[Date]])</f>
        <v>4</v>
      </c>
    </row>
    <row r="65" spans="1:7" x14ac:dyDescent="0.25">
      <c r="A65" s="2">
        <v>150</v>
      </c>
      <c r="B65" s="1" t="s">
        <v>11</v>
      </c>
      <c r="C65" s="1" t="s">
        <v>8</v>
      </c>
      <c r="D65" s="1" t="s">
        <v>28</v>
      </c>
      <c r="E65" s="1" t="str" cm="1">
        <f t="array" ref="E65">_xlfn.XLOOKUP(Operations[[#This Row],[Category]],Category[[#All],[Category]],Category[[#All],[Type]],"",0)</f>
        <v>Income</v>
      </c>
      <c r="F65" s="3">
        <v>45388</v>
      </c>
      <c r="G65" s="1">
        <f>MONTH(Operations[[#This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17</v>
      </c>
      <c r="E66" s="1" t="str" cm="1">
        <f t="array" ref="E66">_xlfn.XLOOKUP(Operations[[#This Row],[Category]],Category[[#All],[Category]],Category[[#All],[Type]],"",0)</f>
        <v>Expense</v>
      </c>
      <c r="F66" s="3">
        <v>45389</v>
      </c>
      <c r="G66" s="1">
        <f>MONTH(Operations[[#This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26</v>
      </c>
      <c r="E67" s="1" t="str" cm="1">
        <f t="array" ref="E67">_xlfn.XLOOKUP(Operations[[#This Row],[Category]],Category[[#All],[Category]],Category[[#All],[Type]],"",0)</f>
        <v>Income</v>
      </c>
      <c r="F67" s="3">
        <v>45392</v>
      </c>
      <c r="G67" s="1">
        <f>MONTH(Operations[[#This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18</v>
      </c>
      <c r="E68" s="1" t="str" cm="1">
        <f t="array" ref="E68">_xlfn.XLOOKUP(Operations[[#This Row],[Category]],Category[[#All],[Category]],Category[[#All],[Type]],"",0)</f>
        <v>Expense</v>
      </c>
      <c r="F68" s="3">
        <v>45393</v>
      </c>
      <c r="G68" s="1">
        <f>MONTH(Operations[[#This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 cm="1">
        <f t="array" ref="E69">_xlfn.XLOOKUP(Operations[[#This Row],[Category]],Category[[#All],[Category]],Category[[#All],[Type]],"",0)</f>
        <v>Expense</v>
      </c>
      <c r="F69" s="3">
        <v>45395</v>
      </c>
      <c r="G69" s="1">
        <f>MONTH(Operations[[#This Row],[Date]])</f>
        <v>4</v>
      </c>
    </row>
    <row r="70" spans="1:7" x14ac:dyDescent="0.25">
      <c r="A70" s="2">
        <v>104.5</v>
      </c>
      <c r="B70" s="1" t="s">
        <v>7</v>
      </c>
      <c r="C70" s="1" t="s">
        <v>9</v>
      </c>
      <c r="D70" s="1" t="s">
        <v>31</v>
      </c>
      <c r="E70" s="1" t="str" cm="1">
        <f t="array" ref="E70">_xlfn.XLOOKUP(Operations[[#This Row],[Category]],Category[[#All],[Category]],Category[[#All],[Type]],"",0)</f>
        <v>Transfer</v>
      </c>
      <c r="F70" s="3">
        <v>45397</v>
      </c>
      <c r="G70" s="1">
        <f>MONTH(Operations[[#This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tr" cm="1">
        <f t="array" ref="E71">_xlfn.XLOOKUP(Operations[[#This Row],[Category]],Category[[#All],[Category]],Category[[#All],[Type]],"",0)</f>
        <v>Transfer</v>
      </c>
      <c r="F71" s="3">
        <v>45397</v>
      </c>
      <c r="G71" s="1">
        <f>MONTH(Operations[[#This Row],[Date]])</f>
        <v>4</v>
      </c>
    </row>
    <row r="72" spans="1:7" x14ac:dyDescent="0.25">
      <c r="A72" s="2">
        <v>-49</v>
      </c>
      <c r="B72" s="1" t="s">
        <v>11</v>
      </c>
      <c r="C72" s="1" t="s">
        <v>8</v>
      </c>
      <c r="D72" s="1" t="s">
        <v>19</v>
      </c>
      <c r="E72" s="1" t="str" cm="1">
        <f t="array" ref="E72">_xlfn.XLOOKUP(Operations[[#This Row],[Category]],Category[[#All],[Category]],Category[[#All],[Type]],"",0)</f>
        <v>Expense</v>
      </c>
      <c r="F72" s="3">
        <v>45397</v>
      </c>
      <c r="G72" s="1">
        <f>MONTH(Operations[[#This Row],[Date]])</f>
        <v>4</v>
      </c>
    </row>
    <row r="73" spans="1:7" x14ac:dyDescent="0.25">
      <c r="A73" s="2">
        <v>-9.99</v>
      </c>
      <c r="B73" s="1" t="s">
        <v>7</v>
      </c>
      <c r="C73" s="1" t="s">
        <v>9</v>
      </c>
      <c r="D73" s="1" t="s">
        <v>17</v>
      </c>
      <c r="E73" s="1" t="str" cm="1">
        <f t="array" ref="E73">_xlfn.XLOOKUP(Operations[[#This Row],[Category]],Category[[#All],[Category]],Category[[#All],[Type]],"",0)</f>
        <v>Expense</v>
      </c>
      <c r="F73" s="3">
        <v>45398</v>
      </c>
      <c r="G73" s="1">
        <f>MONTH(Operations[[#This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24</v>
      </c>
      <c r="E74" s="1" t="str" cm="1">
        <f t="array" ref="E74">_xlfn.XLOOKUP(Operations[[#This Row],[Category]],Category[[#All],[Category]],Category[[#All],[Type]],"",0)</f>
        <v>Expense</v>
      </c>
      <c r="F74" s="3">
        <v>45399</v>
      </c>
      <c r="G74" s="1">
        <f>MONTH(Operations[[#This Row],[Date]])</f>
        <v>4</v>
      </c>
    </row>
    <row r="75" spans="1:7" x14ac:dyDescent="0.25">
      <c r="A75" s="2">
        <v>-57.9</v>
      </c>
      <c r="B75" s="1" t="s">
        <v>7</v>
      </c>
      <c r="C75" s="1" t="s">
        <v>9</v>
      </c>
      <c r="D75" s="1" t="s">
        <v>20</v>
      </c>
      <c r="E75" s="1" t="str" cm="1">
        <f t="array" ref="E75">_xlfn.XLOOKUP(Operations[[#This Row],[Category]],Category[[#All],[Category]],Category[[#All],[Type]],"",0)</f>
        <v>Expense</v>
      </c>
      <c r="F75" s="3">
        <v>45401</v>
      </c>
      <c r="G75" s="1">
        <f>MONTH(Operations[[#This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17</v>
      </c>
      <c r="E76" s="1" t="str" cm="1">
        <f t="array" ref="E76">_xlfn.XLOOKUP(Operations[[#This Row],[Category]],Category[[#All],[Category]],Category[[#All],[Type]],"",0)</f>
        <v>Expense</v>
      </c>
      <c r="F76" s="3">
        <v>45403</v>
      </c>
      <c r="G76" s="1">
        <f>MONTH(Operations[[#This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 cm="1">
        <f t="array" ref="E77">_xlfn.XLOOKUP(Operations[[#This Row],[Category]],Category[[#All],[Category]],Category[[#All],[Type]],"",0)</f>
        <v>Expense</v>
      </c>
      <c r="F77" s="3">
        <v>45405</v>
      </c>
      <c r="G77" s="1">
        <f>MONTH(Operations[[#This Row],[Date]])</f>
        <v>4</v>
      </c>
    </row>
    <row r="78" spans="1:7" x14ac:dyDescent="0.25">
      <c r="A78" s="2">
        <v>50</v>
      </c>
      <c r="B78" s="1" t="s">
        <v>11</v>
      </c>
      <c r="C78" s="1" t="s">
        <v>12</v>
      </c>
      <c r="D78" s="1" t="s">
        <v>29</v>
      </c>
      <c r="E78" s="1" t="str" cm="1">
        <f t="array" ref="E78">_xlfn.XLOOKUP(Operations[[#This Row],[Category]],Category[[#All],[Category]],Category[[#All],[Type]],"",0)</f>
        <v>Income</v>
      </c>
      <c r="F78" s="3">
        <v>45407</v>
      </c>
      <c r="G78" s="1">
        <f>MONTH(Operations[[#This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17</v>
      </c>
      <c r="E79" s="1" t="str" cm="1">
        <f t="array" ref="E79">_xlfn.XLOOKUP(Operations[[#This Row],[Category]],Category[[#All],[Category]],Category[[#All],[Type]],"",0)</f>
        <v>Expense</v>
      </c>
      <c r="F79" s="3">
        <v>45409</v>
      </c>
      <c r="G79" s="1">
        <f>MONTH(Operations[[#This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17</v>
      </c>
      <c r="E80" s="1" t="str" cm="1">
        <f t="array" ref="E80">_xlfn.XLOOKUP(Operations[[#This Row],[Category]],Category[[#All],[Category]],Category[[#All],[Type]],"",0)</f>
        <v>Expense</v>
      </c>
      <c r="F80" s="3">
        <v>45410</v>
      </c>
      <c r="G80" s="1">
        <f>MONTH(Operations[[#This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 cm="1">
        <f t="array" ref="E81">_xlfn.XLOOKUP(Operations[[#This Row],[Category]],Category[[#All],[Category]],Category[[#All],[Type]],"",0)</f>
        <v>Expense</v>
      </c>
      <c r="F81" s="3">
        <v>45411</v>
      </c>
      <c r="G81" s="1">
        <f>MONTH(Operations[[#This Row],[Date]])</f>
        <v>4</v>
      </c>
    </row>
    <row r="82" spans="1:7" x14ac:dyDescent="0.25">
      <c r="A82" s="2">
        <v>-250</v>
      </c>
      <c r="B82" s="1" t="s">
        <v>7</v>
      </c>
      <c r="C82" s="1" t="s">
        <v>9</v>
      </c>
      <c r="D82" s="1" t="s">
        <v>17</v>
      </c>
      <c r="E82" s="1" t="str" cm="1">
        <f t="array" ref="E82">_xlfn.XLOOKUP(Operations[[#This Row],[Category]],Category[[#All],[Category]],Category[[#All],[Type]],"",0)</f>
        <v>Expense</v>
      </c>
      <c r="F82" s="3">
        <v>45419</v>
      </c>
      <c r="G82" s="1">
        <f>MONTH(Operations[[#This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16</v>
      </c>
      <c r="E83" s="1" t="str" cm="1">
        <f t="array" ref="E83">_xlfn.XLOOKUP(Operations[[#This Row],[Category]],Category[[#All],[Category]],Category[[#All],[Type]],"",0)</f>
        <v>Expense</v>
      </c>
      <c r="F83" s="3">
        <v>45422</v>
      </c>
      <c r="G83" s="1">
        <f>MONTH(Operations[[#This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26</v>
      </c>
      <c r="E84" s="1" t="str" cm="1">
        <f t="array" ref="E84">_xlfn.XLOOKUP(Operations[[#This Row],[Category]],Category[[#All],[Category]],Category[[#All],[Type]],"",0)</f>
        <v>Income</v>
      </c>
      <c r="F84" s="3">
        <v>45422</v>
      </c>
      <c r="G84" s="1">
        <f>MONTH(Operations[[#This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18</v>
      </c>
      <c r="E85" s="1" t="str" cm="1">
        <f t="array" ref="E85">_xlfn.XLOOKUP(Operations[[#This Row],[Category]],Category[[#All],[Category]],Category[[#All],[Type]],"",0)</f>
        <v>Expense</v>
      </c>
      <c r="F85" s="3">
        <v>45423</v>
      </c>
      <c r="G85" s="1">
        <f>MONTH(Operations[[#This Row],[Date]])</f>
        <v>5</v>
      </c>
    </row>
    <row r="86" spans="1:7" x14ac:dyDescent="0.25">
      <c r="A86" s="2">
        <v>-250</v>
      </c>
      <c r="B86" s="1" t="s">
        <v>7</v>
      </c>
      <c r="C86" s="1" t="s">
        <v>9</v>
      </c>
      <c r="D86" s="1" t="s">
        <v>17</v>
      </c>
      <c r="E86" s="1" t="str" cm="1">
        <f t="array" ref="E86">_xlfn.XLOOKUP(Operations[[#This Row],[Category]],Category[[#All],[Category]],Category[[#All],[Type]],"",0)</f>
        <v>Expense</v>
      </c>
      <c r="F86" s="3">
        <v>45426</v>
      </c>
      <c r="G86" s="1">
        <f>MONTH(Operations[[#This Row],[Date]])</f>
        <v>5</v>
      </c>
    </row>
    <row r="87" spans="1:7" x14ac:dyDescent="0.25">
      <c r="A87" s="2">
        <v>91.39</v>
      </c>
      <c r="B87" s="1" t="s">
        <v>7</v>
      </c>
      <c r="C87" s="1" t="s">
        <v>9</v>
      </c>
      <c r="D87" s="1" t="s">
        <v>31</v>
      </c>
      <c r="E87" s="1" t="str" cm="1">
        <f t="array" ref="E87">_xlfn.XLOOKUP(Operations[[#This Row],[Category]],Category[[#All],[Category]],Category[[#All],[Type]],"",0)</f>
        <v>Transfer</v>
      </c>
      <c r="F87" s="3">
        <v>45427</v>
      </c>
      <c r="G87" s="1">
        <f>MONTH(Operations[[#This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tr" cm="1">
        <f t="array" ref="E88">_xlfn.XLOOKUP(Operations[[#This Row],[Category]],Category[[#All],[Category]],Category[[#All],[Type]],"",0)</f>
        <v>Transfer</v>
      </c>
      <c r="F88" s="3">
        <v>45427</v>
      </c>
      <c r="G88" s="1">
        <f>MONTH(Operations[[#This Row],[Date]])</f>
        <v>5</v>
      </c>
    </row>
    <row r="89" spans="1:7" x14ac:dyDescent="0.25">
      <c r="A89" s="2">
        <v>-250</v>
      </c>
      <c r="B89" s="1" t="s">
        <v>7</v>
      </c>
      <c r="C89" s="1" t="s">
        <v>9</v>
      </c>
      <c r="D89" s="1" t="s">
        <v>17</v>
      </c>
      <c r="E89" s="1" t="str" cm="1">
        <f t="array" ref="E89">_xlfn.XLOOKUP(Operations[[#This Row],[Category]],Category[[#All],[Category]],Category[[#All],[Type]],"",0)</f>
        <v>Expense</v>
      </c>
      <c r="F89" s="3">
        <v>45433</v>
      </c>
      <c r="G89" s="1">
        <f>MONTH(Operations[[#This Row],[Date]])</f>
        <v>5</v>
      </c>
    </row>
    <row r="90" spans="1:7" x14ac:dyDescent="0.25">
      <c r="A90" s="2">
        <v>-250</v>
      </c>
      <c r="B90" s="1" t="s">
        <v>7</v>
      </c>
      <c r="C90" s="1" t="s">
        <v>9</v>
      </c>
      <c r="D90" s="1" t="s">
        <v>17</v>
      </c>
      <c r="E90" s="1" t="str" cm="1">
        <f t="array" ref="E90">_xlfn.XLOOKUP(Operations[[#This Row],[Category]],Category[[#All],[Category]],Category[[#All],[Type]],"",0)</f>
        <v>Expense</v>
      </c>
      <c r="F90" s="3">
        <v>45440</v>
      </c>
      <c r="G90" s="1">
        <f>MONTH(Operations[[#This Row],[Date]])</f>
        <v>5</v>
      </c>
    </row>
    <row r="91" spans="1:7" x14ac:dyDescent="0.25">
      <c r="A91" s="2">
        <v>-50</v>
      </c>
      <c r="B91" s="1" t="s">
        <v>11</v>
      </c>
      <c r="C91" s="1" t="s">
        <v>8</v>
      </c>
      <c r="D91" s="1" t="s">
        <v>19</v>
      </c>
      <c r="E91" s="1" t="str" cm="1">
        <f t="array" ref="E91">_xlfn.XLOOKUP(Operations[[#This Row],[Category]],Category[[#All],[Category]],Category[[#All],[Type]],"",0)</f>
        <v>Expense</v>
      </c>
      <c r="F91" s="3">
        <v>45441</v>
      </c>
      <c r="G91" s="1">
        <f>MONTH(Operations[[#This Row],[Date]])</f>
        <v>5</v>
      </c>
    </row>
    <row r="92" spans="1:7" x14ac:dyDescent="0.25">
      <c r="A92" s="2">
        <v>-80</v>
      </c>
      <c r="B92" s="1" t="s">
        <v>13</v>
      </c>
      <c r="C92" s="1" t="s">
        <v>14</v>
      </c>
      <c r="D92" s="1" t="s">
        <v>20</v>
      </c>
      <c r="E92" s="1" t="str" cm="1">
        <f t="array" ref="E92">_xlfn.XLOOKUP(Operations[[#This Row],[Category]],Category[[#All],[Category]],Category[[#All],[Type]],"",0)</f>
        <v>Expense</v>
      </c>
      <c r="F92" s="3">
        <v>45442</v>
      </c>
      <c r="G92" s="1">
        <f>MONTH(Operations[[#This Row],[Date]])</f>
        <v>5</v>
      </c>
    </row>
    <row r="93" spans="1:7" x14ac:dyDescent="0.25">
      <c r="A93" s="2">
        <v>-250</v>
      </c>
      <c r="B93" s="1" t="s">
        <v>7</v>
      </c>
      <c r="C93" s="1" t="s">
        <v>9</v>
      </c>
      <c r="D93" s="1" t="s">
        <v>17</v>
      </c>
      <c r="E93" s="1" t="str" cm="1">
        <f t="array" ref="E93">_xlfn.XLOOKUP(Operations[[#This Row],[Category]],Category[[#All],[Category]],Category[[#All],[Type]],"",0)</f>
        <v>Expense</v>
      </c>
      <c r="F93" s="3">
        <v>45450</v>
      </c>
      <c r="G93" s="1">
        <f>MONTH(Operations[[#This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16</v>
      </c>
      <c r="E94" s="1" t="str" cm="1">
        <f t="array" ref="E94">_xlfn.XLOOKUP(Operations[[#This Row],[Category]],Category[[#All],[Category]],Category[[#All],[Type]],"",0)</f>
        <v>Expense</v>
      </c>
      <c r="F94" s="3">
        <v>45453</v>
      </c>
      <c r="G94" s="1">
        <f>MONTH(Operations[[#This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26</v>
      </c>
      <c r="E95" s="1" t="str" cm="1">
        <f t="array" ref="E95">_xlfn.XLOOKUP(Operations[[#This Row],[Category]],Category[[#All],[Category]],Category[[#All],[Type]],"",0)</f>
        <v>Income</v>
      </c>
      <c r="F95" s="3">
        <v>45453</v>
      </c>
      <c r="G95" s="1">
        <f>MONTH(Operations[[#This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18</v>
      </c>
      <c r="E96" s="1" t="str" cm="1">
        <f t="array" ref="E96">_xlfn.XLOOKUP(Operations[[#This Row],[Category]],Category[[#All],[Category]],Category[[#All],[Type]],"",0)</f>
        <v>Expense</v>
      </c>
      <c r="F96" s="3">
        <v>45454</v>
      </c>
      <c r="G96" s="1">
        <f>MONTH(Operations[[#This Row],[Date]])</f>
        <v>6</v>
      </c>
    </row>
    <row r="97" spans="1:7" x14ac:dyDescent="0.25">
      <c r="A97" s="2">
        <v>-250</v>
      </c>
      <c r="B97" s="1" t="s">
        <v>7</v>
      </c>
      <c r="C97" s="1" t="s">
        <v>9</v>
      </c>
      <c r="D97" s="1" t="s">
        <v>17</v>
      </c>
      <c r="E97" s="1" t="str" cm="1">
        <f t="array" ref="E97">_xlfn.XLOOKUP(Operations[[#This Row],[Category]],Category[[#All],[Category]],Category[[#All],[Type]],"",0)</f>
        <v>Expense</v>
      </c>
      <c r="F97" s="3">
        <v>45457</v>
      </c>
      <c r="G97" s="1">
        <f>MONTH(Operations[[#This Row],[Date]])</f>
        <v>6</v>
      </c>
    </row>
    <row r="98" spans="1:7" x14ac:dyDescent="0.25">
      <c r="A98" s="2">
        <v>1000</v>
      </c>
      <c r="B98" s="1" t="s">
        <v>7</v>
      </c>
      <c r="C98" s="1" t="s">
        <v>9</v>
      </c>
      <c r="D98" s="1" t="s">
        <v>31</v>
      </c>
      <c r="E98" s="1" t="str" cm="1">
        <f t="array" ref="E98">_xlfn.XLOOKUP(Operations[[#This Row],[Category]],Category[[#All],[Category]],Category[[#All],[Type]],"",0)</f>
        <v>Transfer</v>
      </c>
      <c r="F98" s="3">
        <v>45458</v>
      </c>
      <c r="G98" s="1">
        <f>MONTH(Operations[[#This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tr" cm="1">
        <f t="array" ref="E99">_xlfn.XLOOKUP(Operations[[#This Row],[Category]],Category[[#All],[Category]],Category[[#All],[Type]],"",0)</f>
        <v>Transfer</v>
      </c>
      <c r="F99" s="3">
        <v>45458</v>
      </c>
      <c r="G99" s="1">
        <f>MONTH(Operations[[#This Row],[Date]])</f>
        <v>6</v>
      </c>
    </row>
    <row r="100" spans="1:7" x14ac:dyDescent="0.25">
      <c r="A100" s="2">
        <v>-100</v>
      </c>
      <c r="B100" s="1" t="s">
        <v>11</v>
      </c>
      <c r="C100" s="1" t="s">
        <v>8</v>
      </c>
      <c r="D100" s="1" t="s">
        <v>21</v>
      </c>
      <c r="E100" s="1" t="str" cm="1">
        <f t="array" ref="E100">_xlfn.XLOOKUP(Operations[[#This Row],[Category]],Category[[#All],[Category]],Category[[#All],[Type]],"",0)</f>
        <v>Expense</v>
      </c>
      <c r="F100" s="3">
        <v>45458</v>
      </c>
      <c r="G100" s="1">
        <f>MONTH(Operations[[#This Row],[Date]])</f>
        <v>6</v>
      </c>
    </row>
    <row r="101" spans="1:7" x14ac:dyDescent="0.25">
      <c r="A101" s="2">
        <v>-250</v>
      </c>
      <c r="B101" s="1" t="s">
        <v>7</v>
      </c>
      <c r="C101" s="1" t="s">
        <v>9</v>
      </c>
      <c r="D101" s="1" t="s">
        <v>17</v>
      </c>
      <c r="E101" s="1" t="str" cm="1">
        <f t="array" ref="E101">_xlfn.XLOOKUP(Operations[[#This Row],[Category]],Category[[#All],[Category]],Category[[#All],[Type]],"",0)</f>
        <v>Expense</v>
      </c>
      <c r="F101" s="3">
        <v>45464</v>
      </c>
      <c r="G101" s="1">
        <f>MONTH(Operations[[#This Row],[Date]])</f>
        <v>6</v>
      </c>
    </row>
    <row r="102" spans="1:7" x14ac:dyDescent="0.25">
      <c r="A102" s="2">
        <v>-250</v>
      </c>
      <c r="B102" s="1" t="s">
        <v>7</v>
      </c>
      <c r="C102" s="1" t="s">
        <v>9</v>
      </c>
      <c r="D102" s="1" t="s">
        <v>17</v>
      </c>
      <c r="E102" s="1" t="str" cm="1">
        <f t="array" ref="E102">_xlfn.XLOOKUP(Operations[[#This Row],[Category]],Category[[#All],[Category]],Category[[#All],[Type]],"",0)</f>
        <v>Expense</v>
      </c>
      <c r="F102" s="3">
        <v>45471</v>
      </c>
      <c r="G102" s="1">
        <f>MONTH(Operations[[#This Row],[Date]])</f>
        <v>6</v>
      </c>
    </row>
    <row r="103" spans="1:7" x14ac:dyDescent="0.25">
      <c r="A103" s="2">
        <v>-300</v>
      </c>
      <c r="B103" s="1" t="s">
        <v>7</v>
      </c>
      <c r="C103" s="1" t="s">
        <v>9</v>
      </c>
      <c r="D103" s="1" t="s">
        <v>22</v>
      </c>
      <c r="E103" s="1" t="str" cm="1">
        <f t="array" ref="E103">_xlfn.XLOOKUP(Operations[[#This Row],[Category]],Category[[#All],[Category]],Category[[#All],[Type]],"",0)</f>
        <v>Expense</v>
      </c>
      <c r="F103" s="3">
        <v>45471</v>
      </c>
      <c r="G103" s="1">
        <f>MONTH(Operations[[#This Row],[Date]])</f>
        <v>6</v>
      </c>
    </row>
    <row r="104" spans="1:7" x14ac:dyDescent="0.25">
      <c r="A104" s="2">
        <v>-50</v>
      </c>
      <c r="B104" s="1" t="s">
        <v>11</v>
      </c>
      <c r="C104" s="1" t="s">
        <v>8</v>
      </c>
      <c r="D104" s="1" t="s">
        <v>19</v>
      </c>
      <c r="E104" s="1" t="str" cm="1">
        <f t="array" ref="E104">_xlfn.XLOOKUP(Operations[[#This Row],[Category]],Category[[#All],[Category]],Category[[#All],[Type]],"",0)</f>
        <v>Expense</v>
      </c>
      <c r="F104" s="3">
        <v>45472</v>
      </c>
      <c r="G104" s="1">
        <f>MONTH(Operations[[#This Row],[Date]])</f>
        <v>6</v>
      </c>
    </row>
    <row r="105" spans="1:7" x14ac:dyDescent="0.25">
      <c r="A105" s="2">
        <v>400</v>
      </c>
      <c r="B105" s="1" t="s">
        <v>11</v>
      </c>
      <c r="C105" s="1" t="s">
        <v>8</v>
      </c>
      <c r="D105" s="1" t="s">
        <v>25</v>
      </c>
      <c r="E105" s="1" t="str" cm="1">
        <f t="array" ref="E105">_xlfn.XLOOKUP(Operations[[#This Row],[Category]],Category[[#All],[Category]],Category[[#All],[Type]],"",0)</f>
        <v>Income</v>
      </c>
      <c r="F105" s="3">
        <v>45472</v>
      </c>
      <c r="G105" s="1">
        <f>MONTH(Operations[[#This Row],[Date]])</f>
        <v>6</v>
      </c>
    </row>
    <row r="106" spans="1:7" x14ac:dyDescent="0.25">
      <c r="A106" s="2">
        <v>-200</v>
      </c>
      <c r="B106" s="1" t="s">
        <v>13</v>
      </c>
      <c r="C106" s="1" t="s">
        <v>14</v>
      </c>
      <c r="D106" s="1" t="s">
        <v>20</v>
      </c>
      <c r="E106" s="1" t="str" cm="1">
        <f t="array" ref="E106">_xlfn.XLOOKUP(Operations[[#This Row],[Category]],Category[[#All],[Category]],Category[[#All],[Type]],"",0)</f>
        <v>Expense</v>
      </c>
      <c r="F106" s="3">
        <v>45473</v>
      </c>
      <c r="G106" s="1">
        <f>MONTH(Operations[[#This Row],[Date]])</f>
        <v>6</v>
      </c>
    </row>
    <row r="107" spans="1:7" x14ac:dyDescent="0.25">
      <c r="A107" s="2">
        <v>-30</v>
      </c>
      <c r="B107" s="1" t="s">
        <v>13</v>
      </c>
      <c r="C107" s="1" t="s">
        <v>15</v>
      </c>
      <c r="D107" s="1" t="s">
        <v>17</v>
      </c>
      <c r="E107" s="1" t="str" cm="1">
        <f t="array" ref="E107">_xlfn.XLOOKUP(Operations[[#This Row],[Category]],Category[[#All],[Category]],Category[[#All],[Type]],"",0)</f>
        <v>Expense</v>
      </c>
      <c r="F107" s="3">
        <v>45476</v>
      </c>
      <c r="G107" s="1">
        <f>MONTH(Operations[[#This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 cm="1">
        <f t="array" ref="E108">_xlfn.XLOOKUP(Operations[[#This Row],[Category]],Category[[#All],[Category]],Category[[#All],[Type]],"",0)</f>
        <v>Expense</v>
      </c>
      <c r="F108" s="3">
        <v>45480</v>
      </c>
      <c r="G108" s="1">
        <f>MONTH(Operations[[#This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26</v>
      </c>
      <c r="E109" s="1" t="str" cm="1">
        <f t="array" ref="E109">_xlfn.XLOOKUP(Operations[[#This Row],[Category]],Category[[#All],[Category]],Category[[#All],[Type]],"",0)</f>
        <v>Income</v>
      </c>
      <c r="F109" s="3">
        <v>45483</v>
      </c>
      <c r="G109" s="1">
        <f>MONTH(Operations[[#This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18</v>
      </c>
      <c r="E110" s="1" t="str" cm="1">
        <f t="array" ref="E110">_xlfn.XLOOKUP(Operations[[#This Row],[Category]],Category[[#All],[Category]],Category[[#All],[Type]],"",0)</f>
        <v>Expense</v>
      </c>
      <c r="F110" s="3">
        <v>45484</v>
      </c>
      <c r="G110" s="1">
        <f>MONTH(Operations[[#This Row],[Date]])</f>
        <v>7</v>
      </c>
    </row>
    <row r="111" spans="1:7" x14ac:dyDescent="0.25">
      <c r="A111" s="2">
        <v>-40</v>
      </c>
      <c r="B111" s="1" t="s">
        <v>7</v>
      </c>
      <c r="C111" s="1" t="s">
        <v>9</v>
      </c>
      <c r="D111" s="1" t="s">
        <v>17</v>
      </c>
      <c r="E111" s="1" t="str" cm="1">
        <f t="array" ref="E111">_xlfn.XLOOKUP(Operations[[#This Row],[Category]],Category[[#All],[Category]],Category[[#All],[Type]],"",0)</f>
        <v>Expense</v>
      </c>
      <c r="F111" s="3">
        <v>45487</v>
      </c>
      <c r="G111" s="1">
        <f>MONTH(Operations[[#This Row],[Date]])</f>
        <v>7</v>
      </c>
    </row>
    <row r="112" spans="1:7" x14ac:dyDescent="0.25">
      <c r="A112" s="2">
        <v>1300</v>
      </c>
      <c r="B112" s="1" t="s">
        <v>7</v>
      </c>
      <c r="C112" s="1" t="s">
        <v>9</v>
      </c>
      <c r="D112" s="1" t="s">
        <v>31</v>
      </c>
      <c r="E112" s="1" t="str" cm="1">
        <f t="array" ref="E112">_xlfn.XLOOKUP(Operations[[#This Row],[Category]],Category[[#All],[Category]],Category[[#All],[Type]],"",0)</f>
        <v>Transfer</v>
      </c>
      <c r="F112" s="3">
        <v>45488</v>
      </c>
      <c r="G112" s="1">
        <f>MONTH(Operations[[#This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tr" cm="1">
        <f t="array" ref="E113">_xlfn.XLOOKUP(Operations[[#This Row],[Category]],Category[[#All],[Category]],Category[[#All],[Type]],"",0)</f>
        <v>Transfer</v>
      </c>
      <c r="F113" s="3">
        <v>45488</v>
      </c>
      <c r="G113" s="1">
        <f>MONTH(Operations[[#This Row],[Date]])</f>
        <v>7</v>
      </c>
    </row>
    <row r="114" spans="1:7" x14ac:dyDescent="0.25">
      <c r="A114" s="2">
        <v>-300</v>
      </c>
      <c r="B114" s="1" t="s">
        <v>7</v>
      </c>
      <c r="C114" s="1" t="s">
        <v>10</v>
      </c>
      <c r="D114" s="1" t="s">
        <v>21</v>
      </c>
      <c r="E114" s="1" t="str" cm="1">
        <f t="array" ref="E114">_xlfn.XLOOKUP(Operations[[#This Row],[Category]],Category[[#All],[Category]],Category[[#All],[Type]],"",0)</f>
        <v>Expense</v>
      </c>
      <c r="F114" s="3">
        <v>45489</v>
      </c>
      <c r="G114" s="1">
        <f>MONTH(Operations[[#This Row],[Date]])</f>
        <v>7</v>
      </c>
    </row>
    <row r="115" spans="1:7" x14ac:dyDescent="0.25">
      <c r="A115" s="2">
        <v>800</v>
      </c>
      <c r="B115" s="1" t="s">
        <v>11</v>
      </c>
      <c r="C115" s="1" t="s">
        <v>12</v>
      </c>
      <c r="D115" s="1" t="s">
        <v>29</v>
      </c>
      <c r="E115" s="1" t="str" cm="1">
        <f t="array" ref="E115">_xlfn.XLOOKUP(Operations[[#This Row],[Category]],Category[[#All],[Category]],Category[[#All],[Type]],"",0)</f>
        <v>Income</v>
      </c>
      <c r="F115" s="3">
        <v>45491</v>
      </c>
      <c r="G115" s="1">
        <f>MONTH(Operations[[#This Row],[Date]])</f>
        <v>7</v>
      </c>
    </row>
    <row r="116" spans="1:7" x14ac:dyDescent="0.25">
      <c r="A116" s="2">
        <v>-600</v>
      </c>
      <c r="B116" s="1" t="s">
        <v>11</v>
      </c>
      <c r="C116" s="1" t="s">
        <v>8</v>
      </c>
      <c r="D116" s="1" t="s">
        <v>20</v>
      </c>
      <c r="E116" s="1" t="str" cm="1">
        <f t="array" ref="E116">_xlfn.XLOOKUP(Operations[[#This Row],[Category]],Category[[#All],[Category]],Category[[#All],[Type]],"",0)</f>
        <v>Expense</v>
      </c>
      <c r="F116" s="3">
        <v>45494</v>
      </c>
      <c r="G116" s="1">
        <f>MONTH(Operations[[#This Row],[Date]])</f>
        <v>7</v>
      </c>
    </row>
    <row r="117" spans="1:7" x14ac:dyDescent="0.25">
      <c r="A117" s="2">
        <v>120</v>
      </c>
      <c r="B117" s="1" t="s">
        <v>7</v>
      </c>
      <c r="C117" s="1" t="s">
        <v>10</v>
      </c>
      <c r="D117" s="1" t="s">
        <v>28</v>
      </c>
      <c r="E117" s="1" t="str" cm="1">
        <f t="array" ref="E117">_xlfn.XLOOKUP(Operations[[#This Row],[Category]],Category[[#All],[Category]],Category[[#All],[Type]],"",0)</f>
        <v>Income</v>
      </c>
      <c r="F117" s="3">
        <v>45495</v>
      </c>
      <c r="G117" s="1">
        <f>MONTH(Operations[[#This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16</v>
      </c>
      <c r="E118" s="1" t="str" cm="1">
        <f t="array" ref="E118">_xlfn.XLOOKUP(Operations[[#This Row],[Category]],Category[[#All],[Category]],Category[[#All],[Type]],"",0)</f>
        <v>Expense</v>
      </c>
      <c r="F118" s="3">
        <v>45497</v>
      </c>
      <c r="G118" s="1">
        <f>MONTH(Operations[[#This Row],[Date]])</f>
        <v>7</v>
      </c>
    </row>
    <row r="119" spans="1:7" x14ac:dyDescent="0.25">
      <c r="A119" s="2">
        <v>-50</v>
      </c>
      <c r="B119" s="1" t="s">
        <v>7</v>
      </c>
      <c r="C119" s="1" t="s">
        <v>9</v>
      </c>
      <c r="D119" s="1" t="s">
        <v>17</v>
      </c>
      <c r="E119" s="1" t="str" cm="1">
        <f t="array" ref="E119">_xlfn.XLOOKUP(Operations[[#This Row],[Category]],Category[[#All],[Category]],Category[[#All],[Type]],"",0)</f>
        <v>Expense</v>
      </c>
      <c r="F119" s="3">
        <v>45499</v>
      </c>
      <c r="G119" s="1">
        <f>MONTH(Operations[[#This Row],[Date]])</f>
        <v>7</v>
      </c>
    </row>
    <row r="120" spans="1:7" x14ac:dyDescent="0.25">
      <c r="A120" s="2">
        <v>250</v>
      </c>
      <c r="B120" s="1" t="s">
        <v>11</v>
      </c>
      <c r="C120" s="1" t="s">
        <v>12</v>
      </c>
      <c r="D120" s="1" t="s">
        <v>22</v>
      </c>
      <c r="E120" s="1" t="str" cm="1">
        <f t="array" ref="E120">_xlfn.XLOOKUP(Operations[[#This Row],[Category]],Category[[#All],[Category]],Category[[#All],[Type]],"",0)</f>
        <v>Expense</v>
      </c>
      <c r="F120" s="3">
        <v>45502</v>
      </c>
      <c r="G120" s="1">
        <f>MONTH(Operations[[#This Row],[Date]])</f>
        <v>7</v>
      </c>
    </row>
    <row r="121" spans="1:7" x14ac:dyDescent="0.25">
      <c r="A121" s="2">
        <v>500</v>
      </c>
      <c r="B121" s="1" t="s">
        <v>11</v>
      </c>
      <c r="C121" s="1" t="s">
        <v>8</v>
      </c>
      <c r="D121" s="1" t="s">
        <v>27</v>
      </c>
      <c r="E121" s="1" t="str" cm="1">
        <f t="array" ref="E121">_xlfn.XLOOKUP(Operations[[#This Row],[Category]],Category[[#All],[Category]],Category[[#All],[Type]],"",0)</f>
        <v>Income</v>
      </c>
      <c r="F121" s="3">
        <v>45503</v>
      </c>
      <c r="G121" s="1">
        <f>MONTH(Operations[[#This Row],[Date]])</f>
        <v>7</v>
      </c>
    </row>
    <row r="122" spans="1:7" x14ac:dyDescent="0.25">
      <c r="A122" s="2">
        <v>-45</v>
      </c>
      <c r="B122" s="1" t="s">
        <v>7</v>
      </c>
      <c r="C122" s="1" t="s">
        <v>9</v>
      </c>
      <c r="D122" s="1" t="s">
        <v>17</v>
      </c>
      <c r="E122" s="1" t="str" cm="1">
        <f t="array" ref="E122">_xlfn.XLOOKUP(Operations[[#This Row],[Category]],Category[[#All],[Category]],Category[[#All],[Type]],"",0)</f>
        <v>Expense</v>
      </c>
      <c r="F122" s="3">
        <v>45504</v>
      </c>
      <c r="G122" s="1">
        <f>MONTH(Operations[[#This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17</v>
      </c>
      <c r="E123" s="1" t="str" cm="1">
        <f t="array" ref="E123">_xlfn.XLOOKUP(Operations[[#This Row],[Category]],Category[[#All],[Category]],Category[[#All],[Type]],"",0)</f>
        <v>Expense</v>
      </c>
      <c r="F123" s="3">
        <v>45505</v>
      </c>
      <c r="G123" s="1">
        <f>MONTH(Operations[[#This Row],[Date]])</f>
        <v>8</v>
      </c>
    </row>
    <row r="124" spans="1:7" x14ac:dyDescent="0.25">
      <c r="A124" s="2">
        <v>-1020</v>
      </c>
      <c r="B124" s="1" t="s">
        <v>7</v>
      </c>
      <c r="C124" s="1" t="s">
        <v>10</v>
      </c>
      <c r="D124" s="1" t="s">
        <v>31</v>
      </c>
      <c r="E124" s="1" t="str" cm="1">
        <f t="array" ref="E124">_xlfn.XLOOKUP(Operations[[#This Row],[Category]],Category[[#All],[Category]],Category[[#All],[Type]],"",0)</f>
        <v>Transfer</v>
      </c>
      <c r="F124" s="3">
        <v>45505</v>
      </c>
      <c r="G124" s="1">
        <f>MONTH(Operations[[#This Row],[Date]])</f>
        <v>8</v>
      </c>
    </row>
    <row r="125" spans="1:7" x14ac:dyDescent="0.25">
      <c r="A125" s="2">
        <v>-200</v>
      </c>
      <c r="B125" s="1" t="s">
        <v>11</v>
      </c>
      <c r="C125" s="1" t="s">
        <v>8</v>
      </c>
      <c r="D125" s="1" t="s">
        <v>16</v>
      </c>
      <c r="E125" s="1" t="str" cm="1">
        <f t="array" ref="E125">_xlfn.XLOOKUP(Operations[[#This Row],[Category]],Category[[#All],[Category]],Category[[#All],[Type]],"",0)</f>
        <v>Expense</v>
      </c>
      <c r="F125" s="3">
        <v>45505</v>
      </c>
      <c r="G125" s="1">
        <f>MONTH(Operations[[#This Row],[Date]])</f>
        <v>8</v>
      </c>
    </row>
    <row r="126" spans="1:7" x14ac:dyDescent="0.25">
      <c r="A126" s="2">
        <v>-70</v>
      </c>
      <c r="B126" s="1" t="s">
        <v>7</v>
      </c>
      <c r="C126" s="1" t="s">
        <v>9</v>
      </c>
      <c r="D126" s="1" t="s">
        <v>17</v>
      </c>
      <c r="E126" s="1" t="str" cm="1">
        <f t="array" ref="E126">_xlfn.XLOOKUP(Operations[[#This Row],[Category]],Category[[#All],[Category]],Category[[#All],[Type]],"",0)</f>
        <v>Expense</v>
      </c>
      <c r="F126" s="3">
        <v>45513</v>
      </c>
      <c r="G126" s="1">
        <f>MONTH(Operations[[#This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26</v>
      </c>
      <c r="E127" s="1" t="str" cm="1">
        <f t="array" ref="E127">_xlfn.XLOOKUP(Operations[[#This Row],[Category]],Category[[#All],[Category]],Category[[#All],[Type]],"",0)</f>
        <v>Income</v>
      </c>
      <c r="F127" s="3">
        <v>45514</v>
      </c>
      <c r="G127" s="1">
        <f>MONTH(Operations[[#This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18</v>
      </c>
      <c r="E128" s="1" t="str" cm="1">
        <f t="array" ref="E128">_xlfn.XLOOKUP(Operations[[#This Row],[Category]],Category[[#All],[Category]],Category[[#All],[Type]],"",0)</f>
        <v>Expense</v>
      </c>
      <c r="F128" s="3">
        <v>45515</v>
      </c>
      <c r="G128" s="1">
        <f>MONTH(Operations[[#This Row],[Date]])</f>
        <v>8</v>
      </c>
    </row>
    <row r="129" spans="1:7" x14ac:dyDescent="0.25">
      <c r="A129" s="2">
        <v>-100</v>
      </c>
      <c r="B129" s="1" t="s">
        <v>11</v>
      </c>
      <c r="C129" s="1" t="s">
        <v>8</v>
      </c>
      <c r="D129" s="1" t="s">
        <v>20</v>
      </c>
      <c r="E129" s="1" t="str" cm="1">
        <f t="array" ref="E129">_xlfn.XLOOKUP(Operations[[#This Row],[Category]],Category[[#All],[Category]],Category[[#All],[Type]],"",0)</f>
        <v>Expense</v>
      </c>
      <c r="F129" s="3">
        <v>45518</v>
      </c>
      <c r="G129" s="1">
        <f>MONTH(Operations[[#This Row],[Date]])</f>
        <v>8</v>
      </c>
    </row>
    <row r="130" spans="1:7" x14ac:dyDescent="0.25">
      <c r="A130" s="2">
        <v>135</v>
      </c>
      <c r="B130" s="1" t="s">
        <v>7</v>
      </c>
      <c r="C130" s="1" t="s">
        <v>9</v>
      </c>
      <c r="D130" s="1" t="s">
        <v>31</v>
      </c>
      <c r="E130" s="1" t="str" cm="1">
        <f t="array" ref="E130">_xlfn.XLOOKUP(Operations[[#This Row],[Category]],Category[[#All],[Category]],Category[[#All],[Type]],"",0)</f>
        <v>Transfer</v>
      </c>
      <c r="F130" s="3">
        <v>45519</v>
      </c>
      <c r="G130" s="1">
        <f>MONTH(Operations[[#This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tr" cm="1">
        <f t="array" ref="E131">_xlfn.XLOOKUP(Operations[[#This Row],[Category]],Category[[#All],[Category]],Category[[#All],[Type]],"",0)</f>
        <v>Transfer</v>
      </c>
      <c r="F131" s="3">
        <v>45519</v>
      </c>
      <c r="G131" s="1">
        <f>MONTH(Operations[[#This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21</v>
      </c>
      <c r="E132" s="1" t="str" cm="1">
        <f t="array" ref="E132">_xlfn.XLOOKUP(Operations[[#This Row],[Category]],Category[[#All],[Category]],Category[[#All],[Type]],"",0)</f>
        <v>Expense</v>
      </c>
      <c r="F132" s="3">
        <v>45520</v>
      </c>
      <c r="G132" s="1">
        <f>MONTH(Operations[[#This Row],[Date]])</f>
        <v>8</v>
      </c>
    </row>
    <row r="133" spans="1:7" x14ac:dyDescent="0.25">
      <c r="A133" s="2">
        <v>-32</v>
      </c>
      <c r="B133" s="1" t="s">
        <v>7</v>
      </c>
      <c r="C133" s="1" t="s">
        <v>9</v>
      </c>
      <c r="D133" s="1" t="s">
        <v>17</v>
      </c>
      <c r="E133" s="1" t="str" cm="1">
        <f t="array" ref="E133">_xlfn.XLOOKUP(Operations[[#This Row],[Category]],Category[[#All],[Category]],Category[[#All],[Type]],"",0)</f>
        <v>Expense</v>
      </c>
      <c r="F133" s="3">
        <v>45522</v>
      </c>
      <c r="G133" s="1">
        <f>MONTH(Operations[[#This Row],[Date]])</f>
        <v>8</v>
      </c>
    </row>
    <row r="134" spans="1:7" x14ac:dyDescent="0.25">
      <c r="A134" s="2">
        <v>200</v>
      </c>
      <c r="B134" s="1" t="s">
        <v>13</v>
      </c>
      <c r="C134" s="1" t="s">
        <v>14</v>
      </c>
      <c r="D134" s="1" t="s">
        <v>29</v>
      </c>
      <c r="E134" s="1" t="str" cm="1">
        <f t="array" ref="E134">_xlfn.XLOOKUP(Operations[[#This Row],[Category]],Category[[#All],[Category]],Category[[#All],[Type]],"",0)</f>
        <v>Income</v>
      </c>
      <c r="F134" s="3">
        <v>45524</v>
      </c>
      <c r="G134" s="1">
        <f>MONTH(Operations[[#This Row],[Date]])</f>
        <v>8</v>
      </c>
    </row>
    <row r="135" spans="1:7" x14ac:dyDescent="0.25">
      <c r="A135" s="2">
        <v>-150</v>
      </c>
      <c r="B135" s="1" t="s">
        <v>13</v>
      </c>
      <c r="C135" s="1" t="s">
        <v>14</v>
      </c>
      <c r="D135" s="1" t="s">
        <v>20</v>
      </c>
      <c r="E135" s="1" t="str" cm="1">
        <f t="array" ref="E135">_xlfn.XLOOKUP(Operations[[#This Row],[Category]],Category[[#All],[Category]],Category[[#All],[Type]],"",0)</f>
        <v>Expense</v>
      </c>
      <c r="F135" s="3">
        <v>45526</v>
      </c>
      <c r="G135" s="1">
        <f>MONTH(Operations[[#This Row],[Date]])</f>
        <v>8</v>
      </c>
    </row>
    <row r="136" spans="1:7" x14ac:dyDescent="0.25">
      <c r="A136" s="2">
        <v>-47.5</v>
      </c>
      <c r="B136" s="1" t="s">
        <v>13</v>
      </c>
      <c r="C136" s="1" t="s">
        <v>14</v>
      </c>
      <c r="D136" s="1" t="s">
        <v>17</v>
      </c>
      <c r="E136" s="1" t="str" cm="1">
        <f t="array" ref="E136">_xlfn.XLOOKUP(Operations[[#This Row],[Category]],Category[[#All],[Category]],Category[[#All],[Type]],"",0)</f>
        <v>Expense</v>
      </c>
      <c r="F136" s="3">
        <v>45527</v>
      </c>
      <c r="G136" s="1">
        <f>MONTH(Operations[[#This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16</v>
      </c>
      <c r="E137" s="1" t="str" cm="1">
        <f t="array" ref="E137">_xlfn.XLOOKUP(Operations[[#This Row],[Category]],Category[[#All],[Category]],Category[[#All],[Type]],"",0)</f>
        <v>Expense</v>
      </c>
      <c r="F137" s="3">
        <v>45528</v>
      </c>
      <c r="G137" s="1">
        <f>MONTH(Operations[[#This Row],[Date]])</f>
        <v>8</v>
      </c>
    </row>
    <row r="138" spans="1:7" x14ac:dyDescent="0.25">
      <c r="A138" s="2">
        <v>-300</v>
      </c>
      <c r="B138" s="1" t="s">
        <v>11</v>
      </c>
      <c r="C138" s="1" t="s">
        <v>12</v>
      </c>
      <c r="D138" s="1" t="s">
        <v>22</v>
      </c>
      <c r="E138" s="1" t="str" cm="1">
        <f t="array" ref="E138">_xlfn.XLOOKUP(Operations[[#This Row],[Category]],Category[[#All],[Category]],Category[[#All],[Type]],"",0)</f>
        <v>Expense</v>
      </c>
      <c r="F138" s="3">
        <v>45531</v>
      </c>
      <c r="G138" s="1">
        <f>MONTH(Operations[[#This Row],[Date]])</f>
        <v>8</v>
      </c>
    </row>
    <row r="139" spans="1:7" x14ac:dyDescent="0.25">
      <c r="A139" s="2">
        <v>500</v>
      </c>
      <c r="B139" s="1" t="s">
        <v>11</v>
      </c>
      <c r="C139" s="1" t="s">
        <v>8</v>
      </c>
      <c r="D139" s="1" t="s">
        <v>27</v>
      </c>
      <c r="E139" s="1" t="str" cm="1">
        <f t="array" ref="E139">_xlfn.XLOOKUP(Operations[[#This Row],[Category]],Category[[#All],[Category]],Category[[#All],[Type]],"",0)</f>
        <v>Income</v>
      </c>
      <c r="F139" s="3">
        <v>45534</v>
      </c>
      <c r="G139" s="1">
        <f>MONTH(Operations[[#This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29</v>
      </c>
      <c r="E140" s="1" t="str" cm="1">
        <f t="array" ref="E140">_xlfn.XLOOKUP(Operations[[#This Row],[Category]],Category[[#All],[Category]],Category[[#All],[Type]],"",0)</f>
        <v>Income</v>
      </c>
      <c r="F140" s="3">
        <v>45535</v>
      </c>
      <c r="G140" s="1">
        <f>MONTH(Operations[[#This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16</v>
      </c>
      <c r="E141" s="1" t="str" cm="1">
        <f t="array" ref="E141">_xlfn.XLOOKUP(Operations[[#This Row],[Category]],Category[[#All],[Category]],Category[[#All],[Type]],"",0)</f>
        <v>Expense</v>
      </c>
      <c r="F141" s="3">
        <v>45536</v>
      </c>
      <c r="G141" s="1">
        <f>MONTH(Operations[[#This Row],[Date]])</f>
        <v>9</v>
      </c>
    </row>
    <row r="142" spans="1:7" x14ac:dyDescent="0.25">
      <c r="A142" s="2">
        <v>-20</v>
      </c>
      <c r="B142" s="1" t="s">
        <v>11</v>
      </c>
      <c r="C142" s="1" t="s">
        <v>8</v>
      </c>
      <c r="D142" s="1" t="s">
        <v>17</v>
      </c>
      <c r="E142" s="1" t="str" cm="1">
        <f t="array" ref="E142">_xlfn.XLOOKUP(Operations[[#This Row],[Category]],Category[[#All],[Category]],Category[[#All],[Type]],"",0)</f>
        <v>Expense</v>
      </c>
      <c r="F142" s="3">
        <v>45539</v>
      </c>
      <c r="G142" s="1">
        <f>MONTH(Operations[[#This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19</v>
      </c>
      <c r="E143" s="1" t="str" cm="1">
        <f t="array" ref="E143">_xlfn.XLOOKUP(Operations[[#This Row],[Category]],Category[[#All],[Category]],Category[[#All],[Type]],"",0)</f>
        <v>Expense</v>
      </c>
      <c r="F143" s="3">
        <v>45542</v>
      </c>
      <c r="G143" s="1">
        <f>MONTH(Operations[[#This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17</v>
      </c>
      <c r="E144" s="1" t="str" cm="1">
        <f t="array" ref="E144">_xlfn.XLOOKUP(Operations[[#This Row],[Category]],Category[[#All],[Category]],Category[[#All],[Type]],"",0)</f>
        <v>Expense</v>
      </c>
      <c r="F144" s="3">
        <v>45543</v>
      </c>
      <c r="G144" s="1">
        <f>MONTH(Operations[[#This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26</v>
      </c>
      <c r="E145" s="1" t="str" cm="1">
        <f t="array" ref="E145">_xlfn.XLOOKUP(Operations[[#This Row],[Category]],Category[[#All],[Category]],Category[[#All],[Type]],"",0)</f>
        <v>Income</v>
      </c>
      <c r="F145" s="3">
        <v>45545</v>
      </c>
      <c r="G145" s="1">
        <f>MONTH(Operations[[#This Row],[Date]])</f>
        <v>9</v>
      </c>
    </row>
    <row r="146" spans="1:7" x14ac:dyDescent="0.25">
      <c r="A146" s="2">
        <v>-20</v>
      </c>
      <c r="B146" s="1" t="s">
        <v>7</v>
      </c>
      <c r="C146" s="1" t="s">
        <v>9</v>
      </c>
      <c r="D146" s="1" t="s">
        <v>20</v>
      </c>
      <c r="E146" s="1" t="str" cm="1">
        <f t="array" ref="E146">_xlfn.XLOOKUP(Operations[[#This Row],[Category]],Category[[#All],[Category]],Category[[#All],[Type]],"",0)</f>
        <v>Expense</v>
      </c>
      <c r="F146" s="3">
        <v>45546</v>
      </c>
      <c r="G146" s="1">
        <f>MONTH(Operations[[#This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18</v>
      </c>
      <c r="E147" s="1" t="str" cm="1">
        <f t="array" ref="E147">_xlfn.XLOOKUP(Operations[[#This Row],[Category]],Category[[#All],[Category]],Category[[#All],[Type]],"",0)</f>
        <v>Expense</v>
      </c>
      <c r="F147" s="3">
        <v>45546</v>
      </c>
      <c r="G147" s="1">
        <f>MONTH(Operations[[#This Row],[Date]])</f>
        <v>9</v>
      </c>
    </row>
    <row r="148" spans="1:7" x14ac:dyDescent="0.25">
      <c r="A148" s="2">
        <v>102</v>
      </c>
      <c r="B148" s="1" t="s">
        <v>7</v>
      </c>
      <c r="C148" s="1" t="s">
        <v>9</v>
      </c>
      <c r="D148" s="1" t="s">
        <v>31</v>
      </c>
      <c r="E148" s="1" t="str" cm="1">
        <f t="array" ref="E148">_xlfn.XLOOKUP(Operations[[#This Row],[Category]],Category[[#All],[Category]],Category[[#All],[Type]],"",0)</f>
        <v>Transfer</v>
      </c>
      <c r="F148" s="3">
        <v>45550</v>
      </c>
      <c r="G148" s="1">
        <f>MONTH(Operations[[#This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tr" cm="1">
        <f t="array" ref="E149">_xlfn.XLOOKUP(Operations[[#This Row],[Category]],Category[[#All],[Category]],Category[[#All],[Type]],"",0)</f>
        <v>Transfer</v>
      </c>
      <c r="F149" s="3">
        <v>45550</v>
      </c>
      <c r="G149" s="1">
        <f>MONTH(Operations[[#This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17</v>
      </c>
      <c r="E150" s="1" t="str" cm="1">
        <f t="array" ref="E150">_xlfn.XLOOKUP(Operations[[#This Row],[Category]],Category[[#All],[Category]],Category[[#All],[Type]],"",0)</f>
        <v>Expense</v>
      </c>
      <c r="F150" s="3">
        <v>45553</v>
      </c>
      <c r="G150" s="1">
        <f>MONTH(Operations[[#This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16</v>
      </c>
      <c r="E151" s="1" t="str" cm="1">
        <f t="array" ref="E151">_xlfn.XLOOKUP(Operations[[#This Row],[Category]],Category[[#All],[Category]],Category[[#All],[Type]],"",0)</f>
        <v>Expense</v>
      </c>
      <c r="F151" s="3">
        <v>45566</v>
      </c>
      <c r="G151" s="1">
        <f>MONTH(Operations[[#This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19</v>
      </c>
      <c r="E152" s="1" t="str" cm="1">
        <f t="array" ref="E152">_xlfn.XLOOKUP(Operations[[#This Row],[Category]],Category[[#All],[Category]],Category[[#All],[Type]],"",0)</f>
        <v>Expense</v>
      </c>
      <c r="F152" s="3">
        <v>45572</v>
      </c>
      <c r="G152" s="1">
        <f>MONTH(Operations[[#This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17</v>
      </c>
      <c r="E153" s="1" t="str" cm="1">
        <f t="array" ref="E153">_xlfn.XLOOKUP(Operations[[#This Row],[Category]],Category[[#All],[Category]],Category[[#All],[Type]],"",0)</f>
        <v>Expense</v>
      </c>
      <c r="F153" s="3">
        <v>45573</v>
      </c>
      <c r="G153" s="1">
        <f>MONTH(Operations[[#This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26</v>
      </c>
      <c r="E154" s="1" t="str" cm="1">
        <f t="array" ref="E154">_xlfn.XLOOKUP(Operations[[#This Row],[Category]],Category[[#All],[Category]],Category[[#All],[Type]],"",0)</f>
        <v>Income</v>
      </c>
      <c r="F154" s="3">
        <v>45575</v>
      </c>
      <c r="G154" s="1">
        <f>MONTH(Operations[[#This Row],[Date]])</f>
        <v>10</v>
      </c>
    </row>
    <row r="155" spans="1:7" x14ac:dyDescent="0.25">
      <c r="A155" s="2">
        <v>-40</v>
      </c>
      <c r="B155" s="1" t="s">
        <v>7</v>
      </c>
      <c r="C155" s="1" t="s">
        <v>9</v>
      </c>
      <c r="D155" s="1" t="s">
        <v>20</v>
      </c>
      <c r="E155" s="1" t="str" cm="1">
        <f t="array" ref="E155">_xlfn.XLOOKUP(Operations[[#This Row],[Category]],Category[[#All],[Category]],Category[[#All],[Type]],"",0)</f>
        <v>Expense</v>
      </c>
      <c r="F155" s="3">
        <v>45576</v>
      </c>
      <c r="G155" s="1">
        <f>MONTH(Operations[[#This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18</v>
      </c>
      <c r="E156" s="1" t="str" cm="1">
        <f t="array" ref="E156">_xlfn.XLOOKUP(Operations[[#This Row],[Category]],Category[[#All],[Category]],Category[[#All],[Type]],"",0)</f>
        <v>Expense</v>
      </c>
      <c r="F156" s="3">
        <v>45576</v>
      </c>
      <c r="G156" s="1">
        <f>MONTH(Operations[[#This Row],[Date]])</f>
        <v>10</v>
      </c>
    </row>
    <row r="157" spans="1:7" x14ac:dyDescent="0.25">
      <c r="A157" s="2">
        <v>20</v>
      </c>
      <c r="B157" s="1" t="s">
        <v>7</v>
      </c>
      <c r="C157" s="1" t="s">
        <v>9</v>
      </c>
      <c r="D157" s="1" t="s">
        <v>31</v>
      </c>
      <c r="E157" s="1" t="str" cm="1">
        <f t="array" ref="E157">_xlfn.XLOOKUP(Operations[[#This Row],[Category]],Category[[#All],[Category]],Category[[#All],[Type]],"",0)</f>
        <v>Transfer</v>
      </c>
      <c r="F157" s="3">
        <v>45580</v>
      </c>
      <c r="G157" s="1">
        <f>MONTH(Operations[[#This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tr" cm="1">
        <f t="array" ref="E158">_xlfn.XLOOKUP(Operations[[#This Row],[Category]],Category[[#All],[Category]],Category[[#All],[Type]],"",0)</f>
        <v>Transfer</v>
      </c>
      <c r="F158" s="3">
        <v>45580</v>
      </c>
      <c r="G158" s="1">
        <f>MONTH(Operations[[#This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26</v>
      </c>
      <c r="E159" s="1" t="str" cm="1">
        <f t="array" ref="E159">_xlfn.XLOOKUP(Operations[[#This Row],[Category]],Category[[#All],[Category]],Category[[#All],[Type]],"",0)</f>
        <v>Income</v>
      </c>
      <c r="F159" s="3">
        <v>45606</v>
      </c>
      <c r="G159" s="1">
        <f>MONTH(Operations[[#This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18</v>
      </c>
      <c r="E160" s="1" t="str" cm="1">
        <f t="array" ref="E160">_xlfn.XLOOKUP(Operations[[#This Row],[Category]],Category[[#All],[Category]],Category[[#All],[Type]],"",0)</f>
        <v>Expense</v>
      </c>
      <c r="F160" s="3">
        <v>45607</v>
      </c>
      <c r="G160" s="1">
        <f>MONTH(Operations[[#This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16</v>
      </c>
      <c r="E161" s="1" t="str" cm="1">
        <f t="array" ref="E161">_xlfn.XLOOKUP(Operations[[#This Row],[Category]],Category[[#All],[Category]],Category[[#All],[Type]],"",0)</f>
        <v>Expense</v>
      </c>
      <c r="F161" s="3">
        <v>45607</v>
      </c>
      <c r="G161" s="1">
        <f>MONTH(Operations[[#This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17</v>
      </c>
      <c r="E162" s="1" t="str" cm="1">
        <f t="array" ref="E162">_xlfn.XLOOKUP(Operations[[#This Row],[Category]],Category[[#All],[Category]],Category[[#All],[Type]],"",0)</f>
        <v>Expense</v>
      </c>
      <c r="F162" s="3">
        <v>45607</v>
      </c>
      <c r="G162" s="1">
        <f>MONTH(Operations[[#This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19</v>
      </c>
      <c r="E163" s="1" t="str" cm="1">
        <f t="array" ref="E163">_xlfn.XLOOKUP(Operations[[#This Row],[Category]],Category[[#All],[Category]],Category[[#All],[Type]],"",0)</f>
        <v>Expense</v>
      </c>
      <c r="F163" s="3">
        <v>45608</v>
      </c>
      <c r="G163" s="1">
        <f>MONTH(Operations[[#This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 cm="1">
        <f t="array" ref="E164">_xlfn.XLOOKUP(Operations[[#This Row],[Category]],Category[[#All],[Category]],Category[[#All],[Type]],"",0)</f>
        <v>Expense</v>
      </c>
      <c r="F164" s="3">
        <v>45610</v>
      </c>
      <c r="G164" s="1">
        <f>MONTH(Operations[[#This Row],[Date]])</f>
        <v>11</v>
      </c>
    </row>
    <row r="165" spans="1:7" x14ac:dyDescent="0.25">
      <c r="A165" s="2">
        <v>40</v>
      </c>
      <c r="B165" s="1" t="s">
        <v>7</v>
      </c>
      <c r="C165" s="1" t="s">
        <v>9</v>
      </c>
      <c r="D165" s="1" t="s">
        <v>31</v>
      </c>
      <c r="E165" s="1" t="str" cm="1">
        <f t="array" ref="E165">_xlfn.XLOOKUP(Operations[[#This Row],[Category]],Category[[#All],[Category]],Category[[#All],[Type]],"",0)</f>
        <v>Transfer</v>
      </c>
      <c r="F165" s="3">
        <v>45611</v>
      </c>
      <c r="G165" s="1">
        <f>MONTH(Operations[[#This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tr" cm="1">
        <f t="array" ref="E166">_xlfn.XLOOKUP(Operations[[#This Row],[Category]],Category[[#All],[Category]],Category[[#All],[Type]],"",0)</f>
        <v>Transfer</v>
      </c>
      <c r="F166" s="3">
        <v>45611</v>
      </c>
      <c r="G166" s="1">
        <f>MONTH(Operations[[#This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17</v>
      </c>
      <c r="E167" s="1" t="str" cm="1">
        <f t="array" ref="E167">_xlfn.XLOOKUP(Operations[[#This Row],[Category]],Category[[#All],[Category]],Category[[#All],[Type]],"",0)</f>
        <v>Expense</v>
      </c>
      <c r="F167" s="3">
        <v>45612</v>
      </c>
      <c r="G167" s="1">
        <f>MONTH(Operations[[#This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21</v>
      </c>
      <c r="E168" s="1" t="str" cm="1">
        <f t="array" ref="E168">_xlfn.XLOOKUP(Operations[[#This Row],[Category]],Category[[#All],[Category]],Category[[#All],[Type]],"",0)</f>
        <v>Expense</v>
      </c>
      <c r="F168" s="3">
        <v>45613</v>
      </c>
      <c r="G168" s="1">
        <f>MONTH(Operations[[#This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16</v>
      </c>
      <c r="E169" s="1" t="str" cm="1">
        <f t="array" ref="E169">_xlfn.XLOOKUP(Operations[[#This Row],[Category]],Category[[#All],[Category]],Category[[#All],[Type]],"",0)</f>
        <v>Expense</v>
      </c>
      <c r="F169" s="3">
        <v>45613</v>
      </c>
      <c r="G169" s="1">
        <f>MONTH(Operations[[#This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17</v>
      </c>
      <c r="E170" s="1" t="str" cm="1">
        <f t="array" ref="E170">_xlfn.XLOOKUP(Operations[[#This Row],[Category]],Category[[#All],[Category]],Category[[#All],[Type]],"",0)</f>
        <v>Expense</v>
      </c>
      <c r="F170" s="3">
        <v>45615</v>
      </c>
      <c r="G170" s="1">
        <f>MONTH(Operations[[#This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 cm="1">
        <f t="array" ref="E171">_xlfn.XLOOKUP(Operations[[#This Row],[Category]],Category[[#All],[Category]],Category[[#All],[Type]],"",0)</f>
        <v>Expense</v>
      </c>
      <c r="F171" s="3">
        <v>45616</v>
      </c>
      <c r="G171" s="1">
        <f>MONTH(Operations[[#This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24</v>
      </c>
      <c r="E172" s="1" t="str" cm="1">
        <f t="array" ref="E172">_xlfn.XLOOKUP(Operations[[#This Row],[Category]],Category[[#All],[Category]],Category[[#All],[Type]],"",0)</f>
        <v>Expense</v>
      </c>
      <c r="F172" s="3">
        <v>45617</v>
      </c>
      <c r="G172" s="1">
        <f>MONTH(Operations[[#This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 cm="1">
        <f t="array" ref="E173">_xlfn.XLOOKUP(Operations[[#This Row],[Category]],Category[[#All],[Category]],Category[[#All],[Type]],"",0)</f>
        <v>Expense</v>
      </c>
      <c r="F173" s="3">
        <v>45618</v>
      </c>
      <c r="G173" s="1">
        <f>MONTH(Operations[[#This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17</v>
      </c>
      <c r="E174" s="1" t="str" cm="1">
        <f t="array" ref="E174">_xlfn.XLOOKUP(Operations[[#This Row],[Category]],Category[[#All],[Category]],Category[[#All],[Type]],"",0)</f>
        <v>Expense</v>
      </c>
      <c r="F174" s="3">
        <v>45618</v>
      </c>
      <c r="G174" s="1">
        <f>MONTH(Operations[[#This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21</v>
      </c>
      <c r="E175" s="1" t="str" cm="1">
        <f t="array" ref="E175">_xlfn.XLOOKUP(Operations[[#This Row],[Category]],Category[[#All],[Category]],Category[[#All],[Type]],"",0)</f>
        <v>Expense</v>
      </c>
      <c r="F175" s="3">
        <v>45618</v>
      </c>
      <c r="G175" s="1">
        <f>MONTH(Operations[[#This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19</v>
      </c>
      <c r="E176" s="1" t="str" cm="1">
        <f t="array" ref="E176">_xlfn.XLOOKUP(Operations[[#This Row],[Category]],Category[[#All],[Category]],Category[[#All],[Type]],"",0)</f>
        <v>Expense</v>
      </c>
      <c r="F176" s="3">
        <v>45619</v>
      </c>
      <c r="G176" s="1">
        <f>MONTH(Operations[[#This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16</v>
      </c>
      <c r="E177" s="1" t="str" cm="1">
        <f t="array" ref="E177">_xlfn.XLOOKUP(Operations[[#This Row],[Category]],Category[[#All],[Category]],Category[[#All],[Type]],"",0)</f>
        <v>Expense</v>
      </c>
      <c r="F177" s="3">
        <v>45619</v>
      </c>
      <c r="G177" s="1">
        <f>MONTH(Operations[[#This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 cm="1">
        <f t="array" ref="E178">_xlfn.XLOOKUP(Operations[[#This Row],[Category]],Category[[#All],[Category]],Category[[#All],[Type]],"",0)</f>
        <v>Expense</v>
      </c>
      <c r="F178" s="3">
        <v>45621</v>
      </c>
      <c r="G178" s="1">
        <f>MONTH(Operations[[#This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17</v>
      </c>
      <c r="E179" s="1" t="str" cm="1">
        <f t="array" ref="E179">_xlfn.XLOOKUP(Operations[[#This Row],[Category]],Category[[#All],[Category]],Category[[#All],[Type]],"",0)</f>
        <v>Expense</v>
      </c>
      <c r="F179" s="3">
        <v>45622</v>
      </c>
      <c r="G179" s="1">
        <f>MONTH(Operations[[#This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16</v>
      </c>
      <c r="E180" s="1" t="str" cm="1">
        <f t="array" ref="E180">_xlfn.XLOOKUP(Operations[[#This Row],[Category]],Category[[#All],[Category]],Category[[#All],[Type]],"",0)</f>
        <v>Expense</v>
      </c>
      <c r="F180" s="3">
        <v>45623</v>
      </c>
      <c r="G180" s="1">
        <f>MONTH(Operations[[#This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 cm="1">
        <f t="array" ref="E181">_xlfn.XLOOKUP(Operations[[#This Row],[Category]],Category[[#All],[Category]],Category[[#All],[Type]],"",0)</f>
        <v>Expense</v>
      </c>
      <c r="F181" s="3">
        <v>45623</v>
      </c>
      <c r="G181" s="1">
        <f>MONTH(Operations[[#This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16</v>
      </c>
      <c r="E182" s="1" t="str" cm="1">
        <f t="array" ref="E182">_xlfn.XLOOKUP(Operations[[#This Row],[Category]],Category[[#All],[Category]],Category[[#All],[Type]],"",0)</f>
        <v>Expense</v>
      </c>
      <c r="F182" s="3">
        <v>45623</v>
      </c>
      <c r="G182" s="1">
        <f>MONTH(Operations[[#This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24</v>
      </c>
      <c r="E183" s="1" t="str" cm="1">
        <f t="array" ref="E183">_xlfn.XLOOKUP(Operations[[#This Row],[Category]],Category[[#All],[Category]],Category[[#All],[Type]],"",0)</f>
        <v>Expense</v>
      </c>
      <c r="F183" s="3">
        <v>45624</v>
      </c>
      <c r="G183" s="1">
        <f>MONTH(Operations[[#This Row],[Date]])</f>
        <v>11</v>
      </c>
    </row>
    <row r="184" spans="1:7" x14ac:dyDescent="0.25">
      <c r="A184" s="2">
        <v>400</v>
      </c>
      <c r="B184" s="1" t="s">
        <v>13</v>
      </c>
      <c r="C184" s="1" t="s">
        <v>14</v>
      </c>
      <c r="D184" s="1" t="s">
        <v>29</v>
      </c>
      <c r="E184" s="1" t="str" cm="1">
        <f t="array" ref="E184">_xlfn.XLOOKUP(Operations[[#This Row],[Category]],Category[[#All],[Category]],Category[[#All],[Type]],"",0)</f>
        <v>Income</v>
      </c>
      <c r="F184" s="3">
        <v>45625</v>
      </c>
      <c r="G184" s="1">
        <f>MONTH(Operations[[#This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17</v>
      </c>
      <c r="E185" s="1" t="str" cm="1">
        <f t="array" ref="E185">_xlfn.XLOOKUP(Operations[[#This Row],[Category]],Category[[#All],[Category]],Category[[#All],[Type]],"",0)</f>
        <v>Expense</v>
      </c>
      <c r="F185" s="3">
        <v>45626</v>
      </c>
      <c r="G185" s="1">
        <f>MONTH(Operations[[#This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17</v>
      </c>
      <c r="E186" s="1" t="str" cm="1">
        <f t="array" ref="E186">_xlfn.XLOOKUP(Operations[[#This Row],[Category]],Category[[#All],[Category]],Category[[#All],[Type]],"",0)</f>
        <v>Expense</v>
      </c>
      <c r="F186" s="3">
        <v>45627</v>
      </c>
      <c r="G186" s="1">
        <f>MONTH(Operations[[#This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17</v>
      </c>
      <c r="E187" s="1" t="str" cm="1">
        <f t="array" ref="E187">_xlfn.XLOOKUP(Operations[[#This Row],[Category]],Category[[#All],[Category]],Category[[#All],[Type]],"",0)</f>
        <v>Expense</v>
      </c>
      <c r="F187" s="3">
        <v>45627</v>
      </c>
      <c r="G187" s="1">
        <f>MONTH(Operations[[#This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21</v>
      </c>
      <c r="E188" s="1" t="str" cm="1">
        <f t="array" ref="E188">_xlfn.XLOOKUP(Operations[[#This Row],[Category]],Category[[#All],[Category]],Category[[#All],[Type]],"",0)</f>
        <v>Expense</v>
      </c>
      <c r="F188" s="3">
        <v>45628</v>
      </c>
      <c r="G188" s="1">
        <f>MONTH(Operations[[#This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24</v>
      </c>
      <c r="E189" s="1" t="str" cm="1">
        <f t="array" ref="E189">_xlfn.XLOOKUP(Operations[[#This Row],[Category]],Category[[#All],[Category]],Category[[#All],[Type]],"",0)</f>
        <v>Expense</v>
      </c>
      <c r="F189" s="3">
        <v>45628</v>
      </c>
      <c r="G189" s="1">
        <f>MONTH(Operations[[#This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 cm="1">
        <f t="array" ref="E190">_xlfn.XLOOKUP(Operations[[#This Row],[Category]],Category[[#All],[Category]],Category[[#All],[Type]],"",0)</f>
        <v>Expense</v>
      </c>
      <c r="F190" s="3">
        <v>45628</v>
      </c>
      <c r="G190" s="1">
        <f>MONTH(Operations[[#This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21</v>
      </c>
      <c r="E191" s="1" t="str" cm="1">
        <f t="array" ref="E191">_xlfn.XLOOKUP(Operations[[#This Row],[Category]],Category[[#All],[Category]],Category[[#All],[Type]],"",0)</f>
        <v>Expense</v>
      </c>
      <c r="F191" s="3">
        <v>45628</v>
      </c>
      <c r="G191" s="1">
        <f>MONTH(Operations[[#This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24</v>
      </c>
      <c r="E192" s="1" t="str" cm="1">
        <f t="array" ref="E192">_xlfn.XLOOKUP(Operations[[#This Row],[Category]],Category[[#All],[Category]],Category[[#All],[Type]],"",0)</f>
        <v>Expense</v>
      </c>
      <c r="F192" s="3">
        <v>45628</v>
      </c>
      <c r="G192" s="1">
        <f>MONTH(Operations[[#This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 cm="1">
        <f t="array" ref="E193">_xlfn.XLOOKUP(Operations[[#This Row],[Category]],Category[[#All],[Category]],Category[[#All],[Type]],"",0)</f>
        <v>Expense</v>
      </c>
      <c r="F193" s="3">
        <v>45628</v>
      </c>
      <c r="G193" s="1">
        <f>MONTH(Operations[[#This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 cm="1">
        <f t="array" ref="E194">_xlfn.XLOOKUP(Operations[[#This Row],[Category]],Category[[#All],[Category]],Category[[#All],[Type]],"",0)</f>
        <v>Expense</v>
      </c>
      <c r="F194" s="3">
        <v>45629</v>
      </c>
      <c r="G194" s="1">
        <f>MONTH(Operations[[#This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 cm="1">
        <f t="array" ref="E195">_xlfn.XLOOKUP(Operations[[#This Row],[Category]],Category[[#All],[Category]],Category[[#All],[Type]],"",0)</f>
        <v>Expense</v>
      </c>
      <c r="F195" s="3">
        <v>45629</v>
      </c>
      <c r="G195" s="1">
        <f>MONTH(Operations[[#This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17</v>
      </c>
      <c r="E196" s="1" t="str" cm="1">
        <f t="array" ref="E196">_xlfn.XLOOKUP(Operations[[#This Row],[Category]],Category[[#All],[Category]],Category[[#All],[Type]],"",0)</f>
        <v>Expense</v>
      </c>
      <c r="F196" s="3">
        <v>45632</v>
      </c>
      <c r="G196" s="1">
        <f>MONTH(Operations[[#This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17</v>
      </c>
      <c r="E197" s="1" t="str" cm="1">
        <f t="array" ref="E197">_xlfn.XLOOKUP(Operations[[#This Row],[Category]],Category[[#All],[Category]],Category[[#All],[Type]],"",0)</f>
        <v>Expense</v>
      </c>
      <c r="F197" s="3">
        <v>45632</v>
      </c>
      <c r="G197" s="1">
        <f>MONTH(Operations[[#This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26</v>
      </c>
      <c r="E198" s="1" t="str" cm="1">
        <f t="array" ref="E198">_xlfn.XLOOKUP(Operations[[#This Row],[Category]],Category[[#All],[Category]],Category[[#All],[Type]],"",0)</f>
        <v>Income</v>
      </c>
      <c r="F198" s="3">
        <v>45636</v>
      </c>
      <c r="G198" s="1">
        <f>MONTH(Operations[[#This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18</v>
      </c>
      <c r="E199" s="1" t="str" cm="1">
        <f t="array" ref="E199">_xlfn.XLOOKUP(Operations[[#This Row],[Category]],Category[[#All],[Category]],Category[[#All],[Type]],"",0)</f>
        <v>Expense</v>
      </c>
      <c r="F199" s="3">
        <v>45637</v>
      </c>
      <c r="G199" s="1">
        <f>MONTH(Operations[[#This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 cm="1">
        <f t="array" ref="E200">_xlfn.XLOOKUP(Operations[[#This Row],[Category]],Category[[#All],[Category]],Category[[#All],[Type]],"",0)</f>
        <v>Expense</v>
      </c>
      <c r="F200" s="3">
        <v>45640</v>
      </c>
      <c r="G200" s="1">
        <f>MONTH(Operations[[#This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 cm="1">
        <f t="array" ref="E201">_xlfn.XLOOKUP(Operations[[#This Row],[Category]],Category[[#All],[Category]],Category[[#All],[Type]],"",0)</f>
        <v>Expense</v>
      </c>
      <c r="F201" s="3">
        <v>45641</v>
      </c>
      <c r="G201" s="1">
        <f>MONTH(Operations[[#This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17</v>
      </c>
      <c r="E202" s="1" t="str" cm="1">
        <f t="array" ref="E202">_xlfn.XLOOKUP(Operations[[#This Row],[Category]],Category[[#All],[Category]],Category[[#All],[Type]],"",0)</f>
        <v>Expense</v>
      </c>
      <c r="F202" s="3">
        <v>45644</v>
      </c>
      <c r="G202" s="1">
        <f>MONTH(Operations[[#This Row],[Date]])</f>
        <v>12</v>
      </c>
    </row>
    <row r="203" spans="1:7" x14ac:dyDescent="0.25">
      <c r="A203" s="2">
        <v>500</v>
      </c>
      <c r="B203" s="1" t="s">
        <v>13</v>
      </c>
      <c r="C203" s="1" t="s">
        <v>14</v>
      </c>
      <c r="D203" s="1" t="s">
        <v>29</v>
      </c>
      <c r="E203" s="1" t="str" cm="1">
        <f t="array" ref="E203">_xlfn.XLOOKUP(Operations[[#This Row],[Category]],Category[[#All],[Category]],Category[[#All],[Type]],"",0)</f>
        <v>Income</v>
      </c>
      <c r="F203" s="3">
        <v>45648</v>
      </c>
      <c r="G203" s="1">
        <f>MONTH(Operations[[#This Row],[Date]])</f>
        <v>12</v>
      </c>
    </row>
    <row r="204" spans="1:7" x14ac:dyDescent="0.25">
      <c r="A204" s="2">
        <v>-100</v>
      </c>
      <c r="B204" s="1" t="s">
        <v>13</v>
      </c>
      <c r="C204" s="1" t="s">
        <v>14</v>
      </c>
      <c r="D204" s="1" t="s">
        <v>20</v>
      </c>
      <c r="E204" s="1" t="str" cm="1">
        <f t="array" ref="E204">_xlfn.XLOOKUP(Operations[[#This Row],[Category]],Category[[#All],[Category]],Category[[#All],[Type]],"",0)</f>
        <v>Expense</v>
      </c>
      <c r="F204" s="3">
        <v>45649</v>
      </c>
      <c r="G204" s="1">
        <f>MONTH(Operations[[#This Row],[Date]])</f>
        <v>12</v>
      </c>
    </row>
    <row r="205" spans="1:7" x14ac:dyDescent="0.25">
      <c r="A205" s="2">
        <v>1500</v>
      </c>
      <c r="B205" s="1" t="s">
        <v>13</v>
      </c>
      <c r="C205" s="1" t="s">
        <v>14</v>
      </c>
      <c r="D205" s="1" t="s">
        <v>29</v>
      </c>
      <c r="E205" s="1" t="str" cm="1">
        <f t="array" ref="E205">_xlfn.XLOOKUP(Operations[[#This Row],[Category]],Category[[#All],[Category]],Category[[#All],[Type]],"",0)</f>
        <v>Income</v>
      </c>
      <c r="F205" s="3">
        <v>45650</v>
      </c>
      <c r="G205" s="1">
        <f>MONTH(Operations[[#This Row],[Date]])</f>
        <v>12</v>
      </c>
    </row>
    <row r="206" spans="1:7" x14ac:dyDescent="0.25">
      <c r="A206" s="2">
        <v>-500</v>
      </c>
      <c r="B206" s="1" t="s">
        <v>13</v>
      </c>
      <c r="C206" s="1" t="s">
        <v>14</v>
      </c>
      <c r="D206" s="1" t="s">
        <v>24</v>
      </c>
      <c r="E206" s="1" t="str" cm="1">
        <f t="array" ref="E206">_xlfn.XLOOKUP(Operations[[#This Row],[Category]],Category[[#All],[Category]],Category[[#All],[Type]],"",0)</f>
        <v>Expense</v>
      </c>
      <c r="F206" s="3">
        <v>45654</v>
      </c>
      <c r="G206" s="1">
        <f>MONTH(Operations[[#This Row],[Date]])</f>
        <v>12</v>
      </c>
    </row>
    <row r="207" spans="1:7" x14ac:dyDescent="0.25">
      <c r="A207" s="2">
        <v>-300</v>
      </c>
      <c r="B207" s="1" t="s">
        <v>13</v>
      </c>
      <c r="C207" s="1" t="s">
        <v>14</v>
      </c>
      <c r="D207" s="1" t="s">
        <v>17</v>
      </c>
      <c r="E207" s="1" t="str" cm="1">
        <f t="array" ref="E207">_xlfn.XLOOKUP(Operations[[#This Row],[Category]],Category[[#All],[Category]],Category[[#All],[Type]],"",0)</f>
        <v>Expense</v>
      </c>
      <c r="F207" s="3">
        <v>45656</v>
      </c>
      <c r="G207" s="1">
        <f>MONTH(Operations[[#This Row],[Date]])</f>
        <v>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6D35C3D-A3A1-4E94-8F5A-CBD4E6E4449B}">
          <x14:formula1>
            <xm:f>_xlfn._TRO_TRAILING(dictionary!$A$2:$A$33)</xm:f>
          </x14:formula1>
          <xm:sqref>D2:D1048576</xm:sqref>
        </x14:dataValidation>
        <x14:dataValidation type="list" allowBlank="1" showInputMessage="1" showErrorMessage="1" xr:uid="{2243CA51-6B98-4E96-A5D9-69D6C6F8EFBD}">
          <x14:formula1>
            <xm:f>dictionary!$G$1:$I$1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22AA-6827-484B-AE85-FCD0EDA6608D}">
  <dimension ref="A1:I17"/>
  <sheetViews>
    <sheetView zoomScale="105" workbookViewId="0">
      <selection activeCell="D31" sqref="D31"/>
    </sheetView>
  </sheetViews>
  <sheetFormatPr defaultRowHeight="15" x14ac:dyDescent="0.25"/>
  <cols>
    <col min="1" max="1" width="13.5703125" bestFit="1" customWidth="1"/>
    <col min="4" max="4" width="9.85546875" bestFit="1" customWidth="1"/>
    <col min="5" max="5" width="16" bestFit="1" customWidth="1"/>
    <col min="7" max="7" width="14" bestFit="1" customWidth="1"/>
    <col min="8" max="8" width="16.5703125" bestFit="1" customWidth="1"/>
  </cols>
  <sheetData>
    <row r="1" spans="1:9" ht="15.75" thickBot="1" x14ac:dyDescent="0.3">
      <c r="A1" t="s">
        <v>3</v>
      </c>
      <c r="B1" t="s">
        <v>4</v>
      </c>
      <c r="D1" s="4" t="s">
        <v>0</v>
      </c>
      <c r="E1" s="7" t="s">
        <v>2</v>
      </c>
      <c r="G1" s="12" t="s">
        <v>11</v>
      </c>
      <c r="H1" s="12" t="s">
        <v>7</v>
      </c>
      <c r="I1" s="12" t="s">
        <v>13</v>
      </c>
    </row>
    <row r="2" spans="1:9" ht="15.75" thickTop="1" x14ac:dyDescent="0.25">
      <c r="A2" s="1" t="s">
        <v>18</v>
      </c>
      <c r="B2" t="s">
        <v>32</v>
      </c>
      <c r="D2" s="6" t="s">
        <v>11</v>
      </c>
      <c r="E2" s="9" t="s">
        <v>8</v>
      </c>
      <c r="G2" s="12" t="s">
        <v>8</v>
      </c>
      <c r="H2" s="12" t="s">
        <v>8</v>
      </c>
      <c r="I2" s="12" t="s">
        <v>15</v>
      </c>
    </row>
    <row r="3" spans="1:9" x14ac:dyDescent="0.25">
      <c r="A3" s="1" t="s">
        <v>22</v>
      </c>
      <c r="B3" t="s">
        <v>32</v>
      </c>
      <c r="D3" s="5" t="s">
        <v>11</v>
      </c>
      <c r="E3" s="8" t="s">
        <v>12</v>
      </c>
      <c r="G3" s="12" t="s">
        <v>12</v>
      </c>
      <c r="H3" s="12" t="s">
        <v>9</v>
      </c>
      <c r="I3" s="12" t="s">
        <v>14</v>
      </c>
    </row>
    <row r="4" spans="1:9" x14ac:dyDescent="0.25">
      <c r="A4" s="1" t="s">
        <v>20</v>
      </c>
      <c r="B4" t="s">
        <v>32</v>
      </c>
      <c r="D4" s="5" t="s">
        <v>7</v>
      </c>
      <c r="E4" s="8" t="s">
        <v>8</v>
      </c>
      <c r="G4" s="12"/>
      <c r="H4" s="12" t="s">
        <v>10</v>
      </c>
      <c r="I4" s="12"/>
    </row>
    <row r="5" spans="1:9" x14ac:dyDescent="0.25">
      <c r="A5" s="1" t="s">
        <v>17</v>
      </c>
      <c r="B5" t="s">
        <v>32</v>
      </c>
      <c r="D5" s="5" t="s">
        <v>7</v>
      </c>
      <c r="E5" s="8" t="s">
        <v>9</v>
      </c>
      <c r="G5" s="12"/>
      <c r="H5" s="12"/>
      <c r="I5" s="12"/>
    </row>
    <row r="6" spans="1:9" x14ac:dyDescent="0.25">
      <c r="A6" s="1" t="s">
        <v>21</v>
      </c>
      <c r="B6" t="s">
        <v>32</v>
      </c>
      <c r="D6" s="6" t="s">
        <v>7</v>
      </c>
      <c r="E6" s="9" t="s">
        <v>10</v>
      </c>
      <c r="G6" s="12"/>
      <c r="H6" s="12"/>
      <c r="I6" s="12"/>
    </row>
    <row r="7" spans="1:9" x14ac:dyDescent="0.25">
      <c r="A7" s="1" t="s">
        <v>19</v>
      </c>
      <c r="B7" t="s">
        <v>32</v>
      </c>
      <c r="D7" s="6" t="s">
        <v>13</v>
      </c>
      <c r="E7" s="9" t="s">
        <v>15</v>
      </c>
      <c r="G7" s="12"/>
      <c r="H7" s="12"/>
      <c r="I7" s="12"/>
    </row>
    <row r="8" spans="1:9" x14ac:dyDescent="0.25">
      <c r="A8" s="1" t="s">
        <v>24</v>
      </c>
      <c r="B8" t="s">
        <v>32</v>
      </c>
      <c r="D8" s="10" t="s">
        <v>13</v>
      </c>
      <c r="E8" s="11" t="s">
        <v>14</v>
      </c>
      <c r="G8" s="12"/>
      <c r="H8" s="12"/>
      <c r="I8" s="12"/>
    </row>
    <row r="9" spans="1:9" x14ac:dyDescent="0.25">
      <c r="A9" s="1" t="s">
        <v>23</v>
      </c>
      <c r="B9" t="s">
        <v>32</v>
      </c>
      <c r="G9" s="12"/>
      <c r="H9" s="12"/>
      <c r="I9" s="12"/>
    </row>
    <row r="10" spans="1:9" x14ac:dyDescent="0.25">
      <c r="A10" s="1" t="s">
        <v>16</v>
      </c>
      <c r="B10" t="s">
        <v>32</v>
      </c>
    </row>
    <row r="11" spans="1:9" x14ac:dyDescent="0.25">
      <c r="A11" s="1" t="s">
        <v>25</v>
      </c>
      <c r="B11" t="s">
        <v>33</v>
      </c>
    </row>
    <row r="12" spans="1:9" x14ac:dyDescent="0.25">
      <c r="A12" s="1" t="s">
        <v>28</v>
      </c>
      <c r="B12" t="s">
        <v>33</v>
      </c>
    </row>
    <row r="13" spans="1:9" x14ac:dyDescent="0.25">
      <c r="A13" s="1" t="s">
        <v>29</v>
      </c>
      <c r="B13" t="s">
        <v>33</v>
      </c>
    </row>
    <row r="14" spans="1:9" x14ac:dyDescent="0.25">
      <c r="A14" s="1" t="s">
        <v>30</v>
      </c>
      <c r="B14" t="s">
        <v>33</v>
      </c>
    </row>
    <row r="15" spans="1:9" x14ac:dyDescent="0.25">
      <c r="A15" s="1" t="s">
        <v>26</v>
      </c>
      <c r="B15" t="s">
        <v>33</v>
      </c>
    </row>
    <row r="16" spans="1:9" x14ac:dyDescent="0.25">
      <c r="A16" s="1" t="s">
        <v>27</v>
      </c>
      <c r="B16" t="s">
        <v>33</v>
      </c>
    </row>
    <row r="17" spans="1:2" x14ac:dyDescent="0.25">
      <c r="A17" s="1" t="s">
        <v>31</v>
      </c>
      <c r="B17" t="s">
        <v>31</v>
      </c>
    </row>
  </sheetData>
  <sortState xmlns:xlrd2="http://schemas.microsoft.com/office/spreadsheetml/2017/richdata2" ref="A2:B17">
    <sortCondition ref="A1:A17"/>
  </sortState>
  <dataValidations count="1">
    <dataValidation type="list" allowBlank="1" showInputMessage="1" showErrorMessage="1" sqref="B2:B17" xr:uid="{9A28846E-060B-4241-B7DF-7B55E387F3DE}">
      <formula1>"Income, Expense, Transfer"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81EF-1187-4052-8DFF-00EF2D815B3B}">
  <dimension ref="A1:K17"/>
  <sheetViews>
    <sheetView tabSelected="1" workbookViewId="0">
      <selection activeCell="E18" sqref="E18"/>
    </sheetView>
  </sheetViews>
  <sheetFormatPr defaultRowHeight="17.25" x14ac:dyDescent="0.35"/>
  <cols>
    <col min="1" max="1" width="18.28515625" style="13" customWidth="1"/>
    <col min="2" max="2" width="17.140625" style="13" bestFit="1" customWidth="1"/>
    <col min="3" max="3" width="28.7109375" style="13" bestFit="1" customWidth="1"/>
    <col min="4" max="4" width="27.28515625" style="13" bestFit="1" customWidth="1"/>
    <col min="5" max="5" width="28.5703125" style="13" bestFit="1" customWidth="1"/>
    <col min="6" max="6" width="9.140625" style="13"/>
    <col min="7" max="7" width="26.140625" style="13" customWidth="1"/>
    <col min="8" max="8" width="16.7109375" style="13" bestFit="1" customWidth="1"/>
    <col min="9" max="9" width="9.140625" style="13"/>
    <col min="10" max="10" width="31.42578125" style="13" customWidth="1"/>
    <col min="11" max="11" width="16.7109375" style="13" bestFit="1" customWidth="1"/>
    <col min="12" max="16384" width="9.140625" style="13"/>
  </cols>
  <sheetData>
    <row r="1" spans="1:11" s="13" customFormat="1" x14ac:dyDescent="0.35">
      <c r="A1" s="13" t="s">
        <v>0</v>
      </c>
      <c r="B1" s="13" t="s">
        <v>2</v>
      </c>
      <c r="C1" s="14" t="s">
        <v>34</v>
      </c>
      <c r="D1" s="14" t="s">
        <v>35</v>
      </c>
      <c r="E1" s="14" t="s">
        <v>36</v>
      </c>
      <c r="G1" s="15" t="s">
        <v>3</v>
      </c>
      <c r="H1" s="15" t="s">
        <v>37</v>
      </c>
      <c r="J1" s="15" t="s">
        <v>3</v>
      </c>
      <c r="K1" s="15" t="s">
        <v>37</v>
      </c>
    </row>
    <row r="2" spans="1:11" s="13" customFormat="1" x14ac:dyDescent="0.35">
      <c r="A2" s="13" t="s">
        <v>11</v>
      </c>
      <c r="B2" s="13" t="s">
        <v>8</v>
      </c>
      <c r="C2" s="15">
        <v>100</v>
      </c>
      <c r="D2" s="15">
        <f ca="1">SUMIFS(Operations[Amount],Operations[Bank],Table6[[#This Row],[Bank]],Operations[Product],Table6[[#This Row],[Product]],Operations[Month],$B$11)</f>
        <v>-35</v>
      </c>
      <c r="E2" s="15">
        <f t="shared" ref="E2:E8" ca="1" si="0">C2+D2</f>
        <v>65</v>
      </c>
      <c r="G2" s="15" t="s">
        <v>25</v>
      </c>
      <c r="H2" s="15"/>
      <c r="J2" s="15" t="s">
        <v>18</v>
      </c>
      <c r="K2" s="15"/>
    </row>
    <row r="3" spans="1:11" s="13" customFormat="1" x14ac:dyDescent="0.35">
      <c r="A3" s="13" t="s">
        <v>11</v>
      </c>
      <c r="B3" s="13" t="s">
        <v>12</v>
      </c>
      <c r="C3" s="15">
        <v>10.5</v>
      </c>
      <c r="D3" s="15">
        <f ca="1">SUMIFS(Operations[Amount],Operations[Bank],Table6[[#This Row],[Bank]],Operations[Product],Table6[[#This Row],[Product]],Operations[Month],$B$11)</f>
        <v>255.5</v>
      </c>
      <c r="E3" s="15">
        <f t="shared" ca="1" si="0"/>
        <v>266</v>
      </c>
      <c r="G3" s="15" t="s">
        <v>28</v>
      </c>
      <c r="H3" s="15"/>
      <c r="J3" s="15" t="s">
        <v>22</v>
      </c>
      <c r="K3" s="15"/>
    </row>
    <row r="4" spans="1:11" s="13" customFormat="1" x14ac:dyDescent="0.35">
      <c r="A4" s="13" t="s">
        <v>7</v>
      </c>
      <c r="B4" s="13" t="s">
        <v>8</v>
      </c>
      <c r="C4" s="15">
        <v>600</v>
      </c>
      <c r="D4" s="15">
        <f ca="1">SUMIFS(Operations[Amount],Operations[Bank],Table6[[#This Row],[Bank]],Operations[Product],Table6[[#This Row],[Product]],Operations[Month],$B$11)</f>
        <v>1100</v>
      </c>
      <c r="E4" s="15">
        <f t="shared" ca="1" si="0"/>
        <v>1700</v>
      </c>
      <c r="G4" s="15" t="s">
        <v>29</v>
      </c>
      <c r="H4" s="15"/>
      <c r="J4" s="15" t="s">
        <v>20</v>
      </c>
      <c r="K4" s="15"/>
    </row>
    <row r="5" spans="1:11" s="13" customFormat="1" x14ac:dyDescent="0.35">
      <c r="A5" s="13" t="s">
        <v>7</v>
      </c>
      <c r="B5" s="13" t="s">
        <v>9</v>
      </c>
      <c r="C5" s="15">
        <v>0</v>
      </c>
      <c r="D5" s="15">
        <f ca="1">SUMIFS(Operations[Amount],Operations[Bank],Table6[[#This Row],[Bank]],Operations[Product],Table6[[#This Row],[Product]],Operations[Month],$B$11)</f>
        <v>-175</v>
      </c>
      <c r="E5" s="15">
        <f t="shared" ca="1" si="0"/>
        <v>-175</v>
      </c>
      <c r="G5" s="15" t="s">
        <v>30</v>
      </c>
      <c r="H5" s="15"/>
      <c r="J5" s="15" t="s">
        <v>17</v>
      </c>
      <c r="K5" s="15"/>
    </row>
    <row r="6" spans="1:11" s="13" customFormat="1" x14ac:dyDescent="0.35">
      <c r="A6" s="13" t="s">
        <v>7</v>
      </c>
      <c r="B6" s="13" t="s">
        <v>10</v>
      </c>
      <c r="C6" s="15">
        <v>2000</v>
      </c>
      <c r="D6" s="15">
        <f ca="1">SUMIFS(Operations[Amount],Operations[Bank],Table6[[#This Row],[Bank]],Operations[Product],Table6[[#This Row],[Product]],Operations[Month],$B$11)</f>
        <v>-400</v>
      </c>
      <c r="E6" s="15">
        <f t="shared" ca="1" si="0"/>
        <v>1600</v>
      </c>
      <c r="G6" s="15" t="s">
        <v>26</v>
      </c>
      <c r="H6" s="15"/>
      <c r="J6" s="15" t="s">
        <v>21</v>
      </c>
      <c r="K6" s="15"/>
    </row>
    <row r="7" spans="1:11" s="13" customFormat="1" x14ac:dyDescent="0.35">
      <c r="A7" s="13" t="s">
        <v>13</v>
      </c>
      <c r="B7" s="13" t="s">
        <v>15</v>
      </c>
      <c r="C7" s="15">
        <v>200</v>
      </c>
      <c r="D7" s="15">
        <f ca="1">SUMIFS(Operations[Amount],Operations[Bank],Table6[[#This Row],[Bank]],Operations[Product],Table6[[#This Row],[Product]],Operations[Month],$B$11)</f>
        <v>-50</v>
      </c>
      <c r="E7" s="15">
        <f t="shared" ca="1" si="0"/>
        <v>150</v>
      </c>
      <c r="G7" s="15" t="s">
        <v>27</v>
      </c>
      <c r="H7" s="15"/>
      <c r="J7" s="15" t="s">
        <v>19</v>
      </c>
      <c r="K7" s="15"/>
    </row>
    <row r="8" spans="1:11" s="13" customFormat="1" x14ac:dyDescent="0.35">
      <c r="A8" s="13" t="s">
        <v>13</v>
      </c>
      <c r="B8" s="13" t="s">
        <v>14</v>
      </c>
      <c r="C8" s="15">
        <v>30</v>
      </c>
      <c r="D8" s="15">
        <f ca="1">SUMIFS(Operations[Amount],Operations[Bank],Table6[[#This Row],[Bank]],Operations[Product],Table6[[#This Row],[Product]],Operations[Month],$B$11)</f>
        <v>150</v>
      </c>
      <c r="E8" s="15">
        <f t="shared" ca="1" si="0"/>
        <v>180</v>
      </c>
      <c r="G8" s="15" t="s">
        <v>37</v>
      </c>
      <c r="H8" s="15">
        <f>SUBTOTAL(103,Table7[Total])</f>
        <v>0</v>
      </c>
      <c r="J8" s="15" t="s">
        <v>24</v>
      </c>
      <c r="K8" s="15"/>
    </row>
    <row r="9" spans="1:11" s="13" customFormat="1" x14ac:dyDescent="0.35">
      <c r="A9" s="13" t="s">
        <v>37</v>
      </c>
      <c r="C9" s="14">
        <f>SUBTOTAL(109,Table6[Opening balance])</f>
        <v>2940.5</v>
      </c>
      <c r="D9" s="14">
        <f ca="1">SUBTOTAL(109,Table6[Operations])</f>
        <v>845.5</v>
      </c>
      <c r="E9" s="14">
        <f ca="1">SUBTOTAL(109,Table6[Closing balance])</f>
        <v>3786</v>
      </c>
      <c r="J9" s="15" t="s">
        <v>23</v>
      </c>
      <c r="K9" s="15"/>
    </row>
    <row r="10" spans="1:11" s="13" customFormat="1" x14ac:dyDescent="0.35">
      <c r="J10" s="15" t="s">
        <v>16</v>
      </c>
      <c r="K10" s="15"/>
    </row>
    <row r="11" spans="1:11" s="13" customFormat="1" ht="18" thickBot="1" x14ac:dyDescent="0.4">
      <c r="A11" s="16" t="s">
        <v>6</v>
      </c>
      <c r="B11" s="17" t="str" cm="1">
        <f t="array" aca="1" ref="B11" ca="1">_xlfn.TEXTAFTER(CELL("filename",A1),"]")</f>
        <v>1</v>
      </c>
      <c r="C11" s="13" t="str" cm="1">
        <f t="array" aca="1" ref="C11" ca="1">RIGHT(CELL("filename", A1), LEN(CELL("filename", A1))-FIND("]",CELL("filename", A1)))</f>
        <v>1</v>
      </c>
      <c r="J11" s="15" t="s">
        <v>37</v>
      </c>
      <c r="K11" s="15">
        <f>SUBTOTAL(103,Table8[Total])</f>
        <v>0</v>
      </c>
    </row>
    <row r="12" spans="1:11" s="13" customFormat="1" ht="18" thickTop="1" x14ac:dyDescent="0.35"/>
    <row r="13" spans="1:11" s="13" customFormat="1" x14ac:dyDescent="0.35">
      <c r="A13" s="15" t="s">
        <v>4</v>
      </c>
      <c r="B13" s="15" t="s">
        <v>37</v>
      </c>
    </row>
    <row r="14" spans="1:11" s="13" customFormat="1" x14ac:dyDescent="0.35">
      <c r="A14" s="15" t="s">
        <v>32</v>
      </c>
      <c r="B14" s="15"/>
    </row>
    <row r="15" spans="1:11" s="13" customFormat="1" x14ac:dyDescent="0.35">
      <c r="A15" s="15" t="s">
        <v>33</v>
      </c>
      <c r="B15" s="15"/>
    </row>
    <row r="16" spans="1:11" s="13" customFormat="1" x14ac:dyDescent="0.35">
      <c r="A16" s="15" t="s">
        <v>31</v>
      </c>
      <c r="B16" s="15"/>
    </row>
    <row r="17" spans="1:2" s="13" customFormat="1" x14ac:dyDescent="0.35">
      <c r="A17" s="15" t="s">
        <v>37</v>
      </c>
      <c r="B17" s="15">
        <f>SUBTOTAL(103,Table9[Total])</f>
        <v>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operations</vt:lpstr>
      <vt:lpstr>dictionary</vt:lpstr>
      <vt:lpstr>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RisSetupInstall</cp:lastModifiedBy>
  <dcterms:created xsi:type="dcterms:W3CDTF">2024-12-14T15:11:08Z</dcterms:created>
  <dcterms:modified xsi:type="dcterms:W3CDTF">2025-11-28T13:16:56Z</dcterms:modified>
</cp:coreProperties>
</file>